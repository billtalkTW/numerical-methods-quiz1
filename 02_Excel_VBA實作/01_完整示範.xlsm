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24" documentId="8_{2A6E0DCD-805D-421F-B2D8-84BE64644D80}" xr6:coauthVersionLast="47" xr6:coauthVersionMax="47" xr10:uidLastSave="{A61AE7BD-A36A-4CB9-9A9E-6515A297E6D6}"/>
  <bookViews>
    <workbookView xWindow="-110" yWindow="-110" windowWidth="25820" windowHeight="15500" xr2:uid="{00000000-000D-0000-FFFF-FFFF00000000}"/>
  </bookViews>
  <sheets>
    <sheet name="使用說明" sheetId="1" r:id="rId1"/>
    <sheet name="E1_求根" sheetId="2" r:id="rId2"/>
    <sheet name="E1_迭代" sheetId="3" r:id="rId3"/>
    <sheet name="E2_Taylor誤差" sheetId="4" r:id="rId4"/>
    <sheet name="E3_插值" sheetId="5" r:id="rId5"/>
    <sheet name="E3_微分" sheetId="6" r:id="rId6"/>
    <sheet name="E4_整合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4" l="1"/>
  <c r="F9" i="4"/>
  <c r="C9" i="4"/>
  <c r="F8" i="4"/>
  <c r="C8" i="4"/>
  <c r="F7" i="4"/>
  <c r="C7" i="4"/>
  <c r="K55" i="6"/>
  <c r="K47" i="6"/>
  <c r="K39" i="6"/>
  <c r="K31" i="6"/>
  <c r="K23" i="6"/>
  <c r="K15" i="6"/>
  <c r="K7" i="6"/>
  <c r="J70" i="5"/>
  <c r="J58" i="5"/>
  <c r="J46" i="5"/>
  <c r="J34" i="5"/>
  <c r="E11" i="5"/>
  <c r="D13" i="6"/>
  <c r="M51" i="6"/>
  <c r="D12" i="6"/>
  <c r="L27" i="6"/>
  <c r="I53" i="5"/>
  <c r="K43" i="6"/>
  <c r="D9" i="6"/>
  <c r="E9" i="6" s="1"/>
  <c r="D14" i="7"/>
  <c r="J61" i="5"/>
  <c r="M8" i="6"/>
  <c r="J72" i="5"/>
  <c r="E17" i="5"/>
  <c r="M7" i="6"/>
  <c r="L31" i="6"/>
  <c r="M54" i="6"/>
  <c r="M46" i="6"/>
  <c r="M38" i="6"/>
  <c r="M30" i="6"/>
  <c r="M22" i="6"/>
  <c r="M14" i="6"/>
  <c r="M6" i="6"/>
  <c r="I70" i="5"/>
  <c r="I58" i="5"/>
  <c r="I46" i="5"/>
  <c r="I34" i="5"/>
  <c r="E10" i="5"/>
  <c r="F9" i="6"/>
  <c r="I30" i="5"/>
  <c r="L19" i="6"/>
  <c r="B7" i="4"/>
  <c r="K27" i="6"/>
  <c r="J28" i="5"/>
  <c r="M26" i="6"/>
  <c r="L50" i="6"/>
  <c r="J51" i="5"/>
  <c r="K17" i="6"/>
  <c r="M32" i="6"/>
  <c r="I61" i="5"/>
  <c r="L32" i="6"/>
  <c r="E18" i="5"/>
  <c r="I48" i="5"/>
  <c r="M55" i="6"/>
  <c r="E13" i="5"/>
  <c r="E12" i="5"/>
  <c r="L54" i="6"/>
  <c r="L46" i="6"/>
  <c r="L38" i="6"/>
  <c r="L30" i="6"/>
  <c r="L22" i="6"/>
  <c r="L14" i="6"/>
  <c r="L6" i="6"/>
  <c r="J69" i="5"/>
  <c r="J57" i="5"/>
  <c r="J45" i="5"/>
  <c r="J33" i="5"/>
  <c r="E9" i="5"/>
  <c r="K12" i="6"/>
  <c r="I42" i="5"/>
  <c r="M35" i="6"/>
  <c r="L51" i="6"/>
  <c r="I41" i="5"/>
  <c r="K11" i="6"/>
  <c r="M10" i="6"/>
  <c r="I64" i="5"/>
  <c r="L26" i="6"/>
  <c r="I26" i="5"/>
  <c r="J73" i="5"/>
  <c r="J37" i="5"/>
  <c r="B13" i="7"/>
  <c r="F12" i="6"/>
  <c r="J60" i="5"/>
  <c r="K40" i="6"/>
  <c r="J71" i="5"/>
  <c r="L47" i="6"/>
  <c r="I35" i="5"/>
  <c r="K54" i="6"/>
  <c r="K46" i="6"/>
  <c r="K38" i="6"/>
  <c r="K30" i="6"/>
  <c r="K22" i="6"/>
  <c r="K14" i="6"/>
  <c r="K6" i="6"/>
  <c r="I69" i="5"/>
  <c r="I57" i="5"/>
  <c r="I45" i="5"/>
  <c r="I33" i="5"/>
  <c r="F5" i="5"/>
  <c r="K44" i="6"/>
  <c r="M19" i="6"/>
  <c r="J29" i="5"/>
  <c r="L35" i="6"/>
  <c r="K35" i="6"/>
  <c r="J40" i="5"/>
  <c r="M34" i="6"/>
  <c r="I28" i="5"/>
  <c r="J63" i="5"/>
  <c r="B14" i="2"/>
  <c r="I50" i="5"/>
  <c r="K9" i="6"/>
  <c r="M48" i="6"/>
  <c r="I25" i="5"/>
  <c r="L16" i="6"/>
  <c r="K16" i="6"/>
  <c r="M15" i="6"/>
  <c r="L23" i="6"/>
  <c r="I47" i="5"/>
  <c r="M53" i="6"/>
  <c r="M45" i="6"/>
  <c r="M37" i="6"/>
  <c r="M29" i="6"/>
  <c r="M21" i="6"/>
  <c r="M13" i="6"/>
  <c r="M5" i="6"/>
  <c r="J68" i="5"/>
  <c r="J56" i="5"/>
  <c r="J44" i="5"/>
  <c r="J32" i="5"/>
  <c r="E5" i="5"/>
  <c r="K52" i="6"/>
  <c r="B8" i="4"/>
  <c r="M27" i="6"/>
  <c r="E7" i="4"/>
  <c r="L43" i="6"/>
  <c r="K51" i="6"/>
  <c r="B16" i="2"/>
  <c r="I40" i="5"/>
  <c r="L34" i="6"/>
  <c r="J39" i="5"/>
  <c r="C13" i="7"/>
  <c r="E5" i="7"/>
  <c r="I72" i="5"/>
  <c r="J59" i="5"/>
  <c r="L55" i="6"/>
  <c r="L53" i="6"/>
  <c r="L45" i="6"/>
  <c r="L37" i="6"/>
  <c r="L29" i="6"/>
  <c r="L21" i="6"/>
  <c r="L13" i="6"/>
  <c r="L5" i="6"/>
  <c r="I68" i="5"/>
  <c r="I56" i="5"/>
  <c r="I44" i="5"/>
  <c r="I32" i="5"/>
  <c r="C14" i="4"/>
  <c r="K20" i="6"/>
  <c r="J53" i="5"/>
  <c r="D11" i="6"/>
  <c r="F11" i="6" s="1"/>
  <c r="J52" i="5"/>
  <c r="M50" i="6"/>
  <c r="J27" i="5"/>
  <c r="I38" i="5"/>
  <c r="K49" i="6"/>
  <c r="I49" i="5"/>
  <c r="L40" i="6"/>
  <c r="E11" i="6"/>
  <c r="K24" i="6"/>
  <c r="M39" i="6"/>
  <c r="I71" i="5"/>
  <c r="K53" i="6"/>
  <c r="K45" i="6"/>
  <c r="K37" i="6"/>
  <c r="K29" i="6"/>
  <c r="K21" i="6"/>
  <c r="K13" i="6"/>
  <c r="K5" i="6"/>
  <c r="J67" i="5"/>
  <c r="J55" i="5"/>
  <c r="J43" i="5"/>
  <c r="J31" i="5"/>
  <c r="E9" i="4"/>
  <c r="K28" i="6"/>
  <c r="J65" i="5"/>
  <c r="L11" i="6"/>
  <c r="D10" i="6"/>
  <c r="M42" i="6"/>
  <c r="B15" i="2"/>
  <c r="L10" i="6"/>
  <c r="F13" i="6"/>
  <c r="K41" i="6"/>
  <c r="J25" i="5"/>
  <c r="I37" i="5"/>
  <c r="D9" i="7"/>
  <c r="K8" i="6"/>
  <c r="M31" i="6"/>
  <c r="L7" i="6"/>
  <c r="M52" i="6"/>
  <c r="M44" i="6"/>
  <c r="M36" i="6"/>
  <c r="M28" i="6"/>
  <c r="M20" i="6"/>
  <c r="M12" i="6"/>
  <c r="C18" i="6"/>
  <c r="I67" i="5"/>
  <c r="I55" i="5"/>
  <c r="I43" i="5"/>
  <c r="I31" i="5"/>
  <c r="B9" i="4"/>
  <c r="I66" i="5"/>
  <c r="M11" i="6"/>
  <c r="D15" i="7"/>
  <c r="K19" i="6"/>
  <c r="B15" i="7"/>
  <c r="I52" i="5"/>
  <c r="L18" i="6"/>
  <c r="I62" i="5"/>
  <c r="K33" i="6"/>
  <c r="M16" i="6"/>
  <c r="L48" i="6"/>
  <c r="J48" i="5"/>
  <c r="I60" i="5"/>
  <c r="M47" i="6"/>
  <c r="E10" i="6"/>
  <c r="I59" i="5"/>
  <c r="L52" i="6"/>
  <c r="L44" i="6"/>
  <c r="L36" i="6"/>
  <c r="L28" i="6"/>
  <c r="L20" i="6"/>
  <c r="L12" i="6"/>
  <c r="C17" i="6"/>
  <c r="J66" i="5"/>
  <c r="J54" i="5"/>
  <c r="J42" i="5"/>
  <c r="J30" i="5"/>
  <c r="E8" i="4"/>
  <c r="K36" i="6"/>
  <c r="I54" i="5"/>
  <c r="M43" i="6"/>
  <c r="J41" i="5"/>
  <c r="I65" i="5"/>
  <c r="I29" i="5"/>
  <c r="C15" i="7"/>
  <c r="J64" i="5"/>
  <c r="M18" i="6"/>
  <c r="L42" i="6"/>
  <c r="J75" i="5"/>
  <c r="K25" i="6"/>
  <c r="M40" i="6"/>
  <c r="I73" i="5"/>
  <c r="L8" i="6"/>
  <c r="K48" i="6"/>
  <c r="I36" i="5"/>
  <c r="J47" i="5"/>
  <c r="L39" i="6"/>
  <c r="F10" i="6"/>
  <c r="C14" i="7"/>
  <c r="K50" i="6"/>
  <c r="K42" i="6"/>
  <c r="K34" i="6"/>
  <c r="K26" i="6"/>
  <c r="K18" i="6"/>
  <c r="K10" i="6"/>
  <c r="I75" i="5"/>
  <c r="I63" i="5"/>
  <c r="I51" i="5"/>
  <c r="I39" i="5"/>
  <c r="I27" i="5"/>
  <c r="B13" i="2"/>
  <c r="B14" i="7"/>
  <c r="M49" i="6"/>
  <c r="M41" i="6"/>
  <c r="M33" i="6"/>
  <c r="M25" i="6"/>
  <c r="M17" i="6"/>
  <c r="M9" i="6"/>
  <c r="J74" i="5"/>
  <c r="J62" i="5"/>
  <c r="J50" i="5"/>
  <c r="J38" i="5"/>
  <c r="J26" i="5"/>
  <c r="E13" i="6"/>
  <c r="D13" i="7"/>
  <c r="L49" i="6"/>
  <c r="L41" i="6"/>
  <c r="L33" i="6"/>
  <c r="L25" i="6"/>
  <c r="L17" i="6"/>
  <c r="L9" i="6"/>
  <c r="I74" i="5"/>
  <c r="J49" i="5"/>
  <c r="E12" i="6"/>
  <c r="M24" i="6"/>
  <c r="L24" i="6"/>
  <c r="J36" i="5"/>
  <c r="K32" i="6"/>
  <c r="M23" i="6"/>
  <c r="J35" i="5"/>
  <c r="L15" i="6"/>
  <c r="G9" i="6" l="1"/>
  <c r="C19" i="6"/>
  <c r="G10" i="6"/>
  <c r="C20" i="6"/>
  <c r="G11" i="6"/>
  <c r="C21" i="6"/>
  <c r="D7" i="4"/>
  <c r="G7" i="4"/>
  <c r="D8" i="4"/>
  <c r="G8" i="4"/>
  <c r="D9" i="4"/>
  <c r="G9" i="4"/>
  <c r="E14" i="4"/>
  <c r="B19" i="6"/>
  <c r="B20" i="6"/>
  <c r="B21" i="6"/>
  <c r="F17" i="6"/>
  <c r="E13" i="7"/>
  <c r="F13" i="7"/>
  <c r="E14" i="7"/>
  <c r="F14" i="7"/>
  <c r="E15" i="7"/>
  <c r="F15" i="7"/>
  <c r="C13" i="2"/>
  <c r="C15" i="2"/>
  <c r="C16" i="2"/>
  <c r="F18" i="5"/>
  <c r="F17" i="5"/>
  <c r="E9" i="7"/>
  <c r="C14" i="2"/>
  <c r="D14" i="2" l="1"/>
  <c r="D16" i="2"/>
  <c r="D15" i="2"/>
  <c r="D13" i="2"/>
</calcChain>
</file>

<file path=xl/sharedStrings.xml><?xml version="1.0" encoding="utf-8"?>
<sst xmlns="http://schemas.openxmlformats.org/spreadsheetml/2006/main" count="177" uniqueCount="126">
  <si>
    <t>數值方法｜示範與可重用 VBA</t>
  </si>
  <si>
    <t>10/07 小考準備 · E1–E4 · 黃底為輸入、公式格可檢視運算</t>
  </si>
  <si>
    <t>建議順序：E1 求根 → E2 誤差 → E3 插值 → E3 微分 → E4 綜合。</t>
  </si>
  <si>
    <t>先看公式列，再按 Alt+F11 閱讀 Module1；附 NM_Core.bas 為相同原碼。</t>
  </si>
  <si>
    <t>E1_求根可改區間、初值、容許誤差；Alt+F8 執行 NM_RunE1Logs 產生逐步紀錄。</t>
  </si>
  <si>
    <t>所有工作表函數 NM_* 都是本教材新寫 VBA；此檔需桌面 Excel 支援 VBA。</t>
  </si>
  <si>
    <t>牛頓法遇 x≤1 應先停止，再說明 ln(x−1) 定義域；不要把錯誤值當答案。</t>
  </si>
  <si>
    <t>E3：歷屆五點資料改編；E1/E2對應本學期前四週；E4 為自編三次式練習。</t>
  </si>
  <si>
    <t>迭代停止：殘差與更新量均達 tol；二分更新量用半區間寬。恰為零可立即停止。</t>
  </si>
  <si>
    <t>若改參數後沒有解，檢查定義域、夾根、導數/分母與最大迭代數。</t>
  </si>
  <si>
    <t>對照來源：上課實作練習 0909、0916、0923、0930；歷屆 Q1 五點插值題。</t>
  </si>
  <si>
    <t>E1｜四種求根法與失敗診斷</t>
  </si>
  <si>
    <t>f(x)=ln(x−1)+cos(x−1)；定義域 x&gt;1</t>
  </si>
  <si>
    <t>輸入</t>
  </si>
  <si>
    <t>a / x0</t>
  </si>
  <si>
    <t>b / x1</t>
  </si>
  <si>
    <t>用途</t>
  </si>
  <si>
    <t>夾根區間</t>
  </si>
  <si>
    <t>二分／假位</t>
  </si>
  <si>
    <t>牛頓初值</t>
  </si>
  <si>
    <t>解析 f′</t>
  </si>
  <si>
    <t>割線初值</t>
  </si>
  <si>
    <t>兩個起始點</t>
  </si>
  <si>
    <t>失敗示範</t>
  </si>
  <si>
    <t>看 E1_迭代</t>
  </si>
  <si>
    <t>tol / maxIter</t>
  </si>
  <si>
    <t>雙條件停止</t>
  </si>
  <si>
    <t>方法</t>
  </si>
  <si>
    <t>近似根</t>
  </si>
  <si>
    <t>f(root)</t>
  </si>
  <si>
    <t>判讀</t>
  </si>
  <si>
    <t>Bisection</t>
  </si>
  <si>
    <t>FalsePosition</t>
  </si>
  <si>
    <t>Newton</t>
  </si>
  <si>
    <t>Secant</t>
  </si>
  <si>
    <t>以 Alt+F8 執行 NM_RunE1Logs，可比較每一次更新與殘差。</t>
  </si>
  <si>
    <t>壞初值 5 不保證收斂；重點是保留軌跡、偵測 x≤1 並說明原因。</t>
  </si>
  <si>
    <t>f′(x)=1/(x−1)−sin(x−1)。Newton 的 b 參數不用，填 0。</t>
  </si>
  <si>
    <t>E1｜完整迭代軌跡</t>
  </si>
  <si>
    <t>k</t>
  </si>
  <si>
    <t>new x</t>
  </si>
  <si>
    <t>f(new x)</t>
  </si>
  <si>
    <t>更新量</t>
  </si>
  <si>
    <t>狀態</t>
  </si>
  <si>
    <t>E2｜Taylor 近似與誤差</t>
  </si>
  <si>
    <t>Maclaurin 展開點 x0=0；degree 是最高允許次方，sin 只含奇數項</t>
  </si>
  <si>
    <t>exp 的 x</t>
  </si>
  <si>
    <t>sin 的 x</t>
  </si>
  <si>
    <t>degree</t>
  </si>
  <si>
    <t>exp Taylor</t>
  </si>
  <si>
    <t>EXP(x)</t>
  </si>
  <si>
    <t>絕對誤差</t>
  </si>
  <si>
    <t>sin Taylor</t>
  </si>
  <si>
    <t>SIN(x)</t>
  </si>
  <si>
    <t>累加 x</t>
  </si>
  <si>
    <t>次數 n</t>
  </si>
  <si>
    <t>逐次累加</t>
  </si>
  <si>
    <t>直接乘法</t>
  </si>
  <si>
    <t>絕對差</t>
  </si>
  <si>
    <t>Taylor 有限項產生截斷誤差；浮點數重複相加產生捨入誤差。</t>
  </si>
  <si>
    <t>sin 的 degree=2 → x；degree=4 → x−x³/3!；degree=6 再加 x⁵/5!。</t>
  </si>
  <si>
    <t>練習：把展開的 x 改大，觀察固定次數的近似是否仍然夠準。</t>
  </si>
  <si>
    <t>E3｜五點插值與反求根</t>
  </si>
  <si>
    <t>歷屆資料改編；先對照 Lagrange / Newton，再解 P(x)=0</t>
  </si>
  <si>
    <t>x_i</t>
  </si>
  <si>
    <t>y_i</t>
  </si>
  <si>
    <t>查詢 x</t>
  </si>
  <si>
    <t>Lagrange</t>
  </si>
  <si>
    <t>k (0起算)</t>
  </si>
  <si>
    <t>Newton 係數</t>
  </si>
  <si>
    <t>求根法</t>
  </si>
  <si>
    <t>root</t>
  </si>
  <si>
    <t>P(root)</t>
  </si>
  <si>
    <t>係數順序依資料點順序；Newton 形式為 c0+c1(x−x0)+c2(x−x0)(x−x1)+…</t>
  </si>
  <si>
    <t>不得把 Newton 插值與 Newton 求根混為一談：前者建多項式，後者迭代找零點。</t>
  </si>
  <si>
    <t>x</t>
  </si>
  <si>
    <t>P Lagrange</t>
  </si>
  <si>
    <t>P Newton</t>
  </si>
  <si>
    <t>E3｜差分、駐點、反曲點</t>
  </si>
  <si>
    <t>中央差分：D1=[P(x+h)−P(x−h)]/(2h)，D2=[P(x+h)−2P(x)+P(x−h)]/h²</t>
  </si>
  <si>
    <t>h</t>
  </si>
  <si>
    <t>tol</t>
  </si>
  <si>
    <t>maxIter</t>
  </si>
  <si>
    <t>資料連結</t>
  </si>
  <si>
    <t>scan x</t>
  </si>
  <si>
    <t>P</t>
  </si>
  <si>
    <t>D1</t>
  </si>
  <si>
    <t>D2</t>
  </si>
  <si>
    <t>E3_插值!A5:B9</t>
  </si>
  <si>
    <t>目標</t>
  </si>
  <si>
    <t>a</t>
  </si>
  <si>
    <t>b</t>
  </si>
  <si>
    <t>求得 x</t>
  </si>
  <si>
    <t>P(x)</t>
  </si>
  <si>
    <t>D2(x)</t>
  </si>
  <si>
    <t>分類</t>
  </si>
  <si>
    <t>檢查左右凹凸變號</t>
  </si>
  <si>
    <t>全域候選</t>
  </si>
  <si>
    <t>左端點</t>
  </si>
  <si>
    <t>區間最大值</t>
  </si>
  <si>
    <t>右端點</t>
  </si>
  <si>
    <t>駐點 1</t>
  </si>
  <si>
    <t>駐點 2</t>
  </si>
  <si>
    <t>駐點 3</t>
  </si>
  <si>
    <t>先用右側 Δx=0.1 的掃描確認全部變號區間，再縮小區間求根。</t>
  </si>
  <si>
    <t>D2=0 只是反曲點候選；要檢查凹凸在左右真的改變。</t>
  </si>
  <si>
    <t>差分根不等於解析根。h 縮小時要兼顧截斷誤差與相減消去。</t>
  </si>
  <si>
    <t>E4｜自編三次式整合練習</t>
  </si>
  <si>
    <t>四點 → 插值 → P(0.5) → 根 → 極值 → 反曲點；以解析式對照</t>
  </si>
  <si>
    <t>root [0,1]</t>
  </si>
  <si>
    <t>max 附近 x</t>
  </si>
  <si>
    <t>min 附近 x</t>
  </si>
  <si>
    <t>反曲 x</t>
  </si>
  <si>
    <t>max 的 x 誤差</t>
  </si>
  <si>
    <t>min 的 x 誤差</t>
  </si>
  <si>
    <t>解析對照：P=x³−3x+1；P′=3x²−3；P″=6x。</t>
  </si>
  <si>
    <t>中央 D1=3x²−3+h²，所以差分駐點會偏移；即使求根 tol 很小仍有偏差。</t>
  </si>
  <si>
    <t>試著只看四個資料點，先在骨架練習重做，再回來核對。</t>
  </si>
  <si>
    <t>Converged</t>
  </si>
  <si>
    <t>Bisection : Converged</t>
    <phoneticPr fontId="7" type="noConversion"/>
  </si>
  <si>
    <t>FalsePosition : Converged</t>
  </si>
  <si>
    <t>Newton : Converged</t>
  </si>
  <si>
    <t>Secant : Converged</t>
  </si>
  <si>
    <t>STOP: candidate x&lt;=1 (before Log)</t>
  </si>
  <si>
    <t>Newton : STOP: candidate x&lt;=1 (before Log)</t>
  </si>
  <si>
    <t>差分 h 控制微分近似誤差；求根 tol 控制解差分方程的停止條件，兩者不同。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</si>
</sst>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0"/>
    <numFmt numFmtId="177" formatCode="0.000000000000000"/>
  </numFmts>
  <fonts count="8">
    <font>
      <sz val="11"/>
      <name val="Carlito"/>
    </font>
    <font>
      <sz val="11"/>
      <color rgb="FF223344"/>
      <name val="Arial"/>
      <family val="2"/>
    </font>
    <font>
      <b/>
      <sz val="17"/>
      <color rgb="FF203A54"/>
      <name val="Arial"/>
      <family val="2"/>
    </font>
    <font>
      <sz val="10"/>
      <color rgb="FF526478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sz val="11"/>
      <name val="Carlito"/>
    </font>
    <font>
      <sz val="9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203A54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17">
    <xf numFmtId="0" fontId="0" fillId="0" borderId="0" xfId="0"/>
    <xf numFmtId="0" fontId="1" fillId="0" borderId="0" xfId="1" applyFont="1" applyAlignment="1">
      <alignment vertical="center"/>
    </xf>
    <xf numFmtId="0" fontId="4" fillId="2" borderId="0" xfId="1" applyFont="1" applyFill="1" applyAlignment="1">
      <alignment horizontal="center" vertical="center"/>
    </xf>
    <xf numFmtId="176" fontId="1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0" fontId="5" fillId="2" borderId="0" xfId="1" applyFont="1" applyFill="1" applyAlignment="1">
      <alignment vertical="center"/>
    </xf>
    <xf numFmtId="176" fontId="0" fillId="0" borderId="0" xfId="1" applyNumberFormat="1" applyFont="1" applyAlignment="1">
      <alignment vertical="center"/>
    </xf>
    <xf numFmtId="177" fontId="1" fillId="0" borderId="0" xfId="1" applyNumberFormat="1" applyFont="1" applyAlignment="1">
      <alignment vertical="center"/>
    </xf>
    <xf numFmtId="11" fontId="1" fillId="0" borderId="0" xfId="1" applyNumberFormat="1" applyFont="1" applyAlignment="1">
      <alignment vertical="center"/>
    </xf>
    <xf numFmtId="0" fontId="1" fillId="3" borderId="0" xfId="1" applyFont="1" applyFill="1" applyAlignment="1">
      <alignment vertical="center"/>
    </xf>
    <xf numFmtId="0" fontId="2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3" fillId="0" borderId="0" xfId="1" applyFont="1" applyAlignment="1">
      <alignment vertical="center" wrapText="1"/>
    </xf>
    <xf numFmtId="0" fontId="1" fillId="0" borderId="0" xfId="1" applyFont="1" applyAlignment="1">
      <alignment vertical="center" wrapText="1"/>
    </xf>
    <xf numFmtId="1" fontId="1" fillId="0" borderId="0" xfId="1" applyNumberFormat="1" applyFont="1" applyAlignment="1">
      <alignment vertical="center"/>
    </xf>
    <xf numFmtId="1" fontId="0" fillId="0" borderId="0" xfId="1" applyNumberFormat="1" applyFont="1" applyAlignment="1">
      <alignment vertical="center"/>
    </xf>
    <xf numFmtId="11" fontId="0" fillId="0" borderId="0" xfId="1" applyNumberFormat="1" applyFont="1" applyAlignment="1">
      <alignment vertical="center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/>
          <a:lstStyle/>
          <a:p>
            <a:r>
              <a:rPr lang="en-US"/>
              <a:t>E3 P(x)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 Lagrange</c:v>
          </c:tx>
          <c:marker>
            <c:symbol val="none"/>
          </c:marker>
          <c:cat>
            <c:numRef>
              <c:f>E3_插值!$H$25:$H$75</c:f>
              <c:numCache>
                <c:formatCode>General</c:formatCode>
                <c:ptCount val="51"/>
                <c:pt idx="0">
                  <c:v>-2</c:v>
                </c:pt>
                <c:pt idx="1">
                  <c:v>-1.9</c:v>
                </c:pt>
                <c:pt idx="2">
                  <c:v>-1.8</c:v>
                </c:pt>
                <c:pt idx="3">
                  <c:v>-1.7</c:v>
                </c:pt>
                <c:pt idx="4">
                  <c:v>-1.6</c:v>
                </c:pt>
                <c:pt idx="5">
                  <c:v>-1.5</c:v>
                </c:pt>
                <c:pt idx="6">
                  <c:v>-1.4</c:v>
                </c:pt>
                <c:pt idx="7">
                  <c:v>-1.3</c:v>
                </c:pt>
                <c:pt idx="8">
                  <c:v>-1.2</c:v>
                </c:pt>
                <c:pt idx="9">
                  <c:v>-1.1000000000000001</c:v>
                </c:pt>
                <c:pt idx="10">
                  <c:v>-1</c:v>
                </c:pt>
                <c:pt idx="11">
                  <c:v>-0.9</c:v>
                </c:pt>
                <c:pt idx="12">
                  <c:v>-0.8</c:v>
                </c:pt>
                <c:pt idx="13">
                  <c:v>-0.7</c:v>
                </c:pt>
                <c:pt idx="14">
                  <c:v>-0.6</c:v>
                </c:pt>
                <c:pt idx="15">
                  <c:v>-0.5</c:v>
                </c:pt>
                <c:pt idx="16">
                  <c:v>-0.4</c:v>
                </c:pt>
                <c:pt idx="17">
                  <c:v>-0.3</c:v>
                </c:pt>
                <c:pt idx="18">
                  <c:v>-0.2</c:v>
                </c:pt>
                <c:pt idx="19">
                  <c:v>-0.1</c:v>
                </c:pt>
                <c:pt idx="20">
                  <c:v>0</c:v>
                </c:pt>
                <c:pt idx="21">
                  <c:v>0.1</c:v>
                </c:pt>
                <c:pt idx="22">
                  <c:v>0.2</c:v>
                </c:pt>
                <c:pt idx="23">
                  <c:v>0.3</c:v>
                </c:pt>
                <c:pt idx="24">
                  <c:v>0.4</c:v>
                </c:pt>
                <c:pt idx="25">
                  <c:v>0.5</c:v>
                </c:pt>
                <c:pt idx="26">
                  <c:v>0.6</c:v>
                </c:pt>
                <c:pt idx="27">
                  <c:v>0.7</c:v>
                </c:pt>
                <c:pt idx="28">
                  <c:v>0.8</c:v>
                </c:pt>
                <c:pt idx="29">
                  <c:v>0.9</c:v>
                </c:pt>
                <c:pt idx="30">
                  <c:v>1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1.5</c:v>
                </c:pt>
                <c:pt idx="36">
                  <c:v>1.6</c:v>
                </c:pt>
                <c:pt idx="37">
                  <c:v>1.7</c:v>
                </c:pt>
                <c:pt idx="38">
                  <c:v>1.8</c:v>
                </c:pt>
                <c:pt idx="39">
                  <c:v>1.9</c:v>
                </c:pt>
                <c:pt idx="40">
                  <c:v>2</c:v>
                </c:pt>
                <c:pt idx="41">
                  <c:v>2.1</c:v>
                </c:pt>
                <c:pt idx="42">
                  <c:v>2.2000000000000002</c:v>
                </c:pt>
                <c:pt idx="43">
                  <c:v>2.2999999999999998</c:v>
                </c:pt>
                <c:pt idx="44">
                  <c:v>2.4</c:v>
                </c:pt>
                <c:pt idx="45">
                  <c:v>2.5</c:v>
                </c:pt>
                <c:pt idx="46">
                  <c:v>2.6</c:v>
                </c:pt>
                <c:pt idx="47">
                  <c:v>2.7</c:v>
                </c:pt>
                <c:pt idx="48">
                  <c:v>2.8</c:v>
                </c:pt>
                <c:pt idx="49">
                  <c:v>2.9</c:v>
                </c:pt>
                <c:pt idx="50">
                  <c:v>3</c:v>
                </c:pt>
              </c:numCache>
            </c:numRef>
          </c:cat>
          <c:val>
            <c:numRef>
              <c:f>E3_插值!$I$25:$I$75</c:f>
              <c:numCache>
                <c:formatCode>0.0000000000</c:formatCode>
                <c:ptCount val="51"/>
                <c:pt idx="0">
                  <c:v>1</c:v>
                </c:pt>
                <c:pt idx="1">
                  <c:v>1.8089500000000009</c:v>
                </c:pt>
                <c:pt idx="2">
                  <c:v>2.4512</c:v>
                </c:pt>
                <c:pt idx="3">
                  <c:v>2.9489500000000004</c:v>
                </c:pt>
                <c:pt idx="4">
                  <c:v>3.3231999999999995</c:v>
                </c:pt>
                <c:pt idx="5">
                  <c:v>3.5937499999999996</c:v>
                </c:pt>
                <c:pt idx="6">
                  <c:v>3.7792000000000003</c:v>
                </c:pt>
                <c:pt idx="7">
                  <c:v>3.8969499999999995</c:v>
                </c:pt>
                <c:pt idx="8">
                  <c:v>3.9632000000000005</c:v>
                </c:pt>
                <c:pt idx="9">
                  <c:v>3.9929499999999991</c:v>
                </c:pt>
                <c:pt idx="10">
                  <c:v>4</c:v>
                </c:pt>
                <c:pt idx="11">
                  <c:v>3.99695</c:v>
                </c:pt>
                <c:pt idx="12">
                  <c:v>3.9951999999999992</c:v>
                </c:pt>
                <c:pt idx="13">
                  <c:v>4.00495</c:v>
                </c:pt>
                <c:pt idx="14">
                  <c:v>4.0352000000000006</c:v>
                </c:pt>
                <c:pt idx="15">
                  <c:v>4.09375</c:v>
                </c:pt>
                <c:pt idx="16">
                  <c:v>4.1871999999999998</c:v>
                </c:pt>
                <c:pt idx="17">
                  <c:v>4.3209499999999998</c:v>
                </c:pt>
                <c:pt idx="18">
                  <c:v>4.4992000000000019</c:v>
                </c:pt>
                <c:pt idx="19">
                  <c:v>4.7249500000000015</c:v>
                </c:pt>
                <c:pt idx="20">
                  <c:v>5</c:v>
                </c:pt>
                <c:pt idx="21">
                  <c:v>5.3249500000000012</c:v>
                </c:pt>
                <c:pt idx="22">
                  <c:v>5.6992000000000012</c:v>
                </c:pt>
                <c:pt idx="23">
                  <c:v>6.1209499999999997</c:v>
                </c:pt>
                <c:pt idx="24">
                  <c:v>6.5872000000000002</c:v>
                </c:pt>
                <c:pt idx="25">
                  <c:v>7.09375</c:v>
                </c:pt>
                <c:pt idx="26">
                  <c:v>7.6351999999999993</c:v>
                </c:pt>
                <c:pt idx="27">
                  <c:v>8.2049500000000002</c:v>
                </c:pt>
                <c:pt idx="28">
                  <c:v>8.7952000000000012</c:v>
                </c:pt>
                <c:pt idx="29">
                  <c:v>9.3969500000000004</c:v>
                </c:pt>
                <c:pt idx="30">
                  <c:v>10</c:v>
                </c:pt>
                <c:pt idx="31">
                  <c:v>10.59295</c:v>
                </c:pt>
                <c:pt idx="32">
                  <c:v>11.1632</c:v>
                </c:pt>
                <c:pt idx="33">
                  <c:v>11.696949999999999</c:v>
                </c:pt>
                <c:pt idx="34">
                  <c:v>12.179200000000002</c:v>
                </c:pt>
                <c:pt idx="35">
                  <c:v>12.59375</c:v>
                </c:pt>
                <c:pt idx="36">
                  <c:v>12.923200000000001</c:v>
                </c:pt>
                <c:pt idx="37">
                  <c:v>13.148950000000003</c:v>
                </c:pt>
                <c:pt idx="38">
                  <c:v>13.251199999999997</c:v>
                </c:pt>
                <c:pt idx="39">
                  <c:v>13.208949999999998</c:v>
                </c:pt>
                <c:pt idx="40">
                  <c:v>13</c:v>
                </c:pt>
                <c:pt idx="41">
                  <c:v>12.600949999999997</c:v>
                </c:pt>
                <c:pt idx="42">
                  <c:v>11.9872</c:v>
                </c:pt>
                <c:pt idx="43">
                  <c:v>11.132950000000001</c:v>
                </c:pt>
                <c:pt idx="44">
                  <c:v>10.011200000000004</c:v>
                </c:pt>
                <c:pt idx="45">
                  <c:v>8.59375</c:v>
                </c:pt>
                <c:pt idx="46">
                  <c:v>6.8511999999999977</c:v>
                </c:pt>
                <c:pt idx="47">
                  <c:v>4.7529499999999958</c:v>
                </c:pt>
                <c:pt idx="48">
                  <c:v>2.2672000000000057</c:v>
                </c:pt>
                <c:pt idx="49">
                  <c:v>-0.6390499999999979</c:v>
                </c:pt>
                <c:pt idx="50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4-430C-9E74-082D77F1F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00000000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19</xdr:col>
      <xdr:colOff>0</xdr:colOff>
      <xdr:row>21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110"/>
  <sheetViews>
    <sheetView showGridLines="0" tabSelected="1" zoomScale="90" zoomScaleNormal="90" workbookViewId="0">
      <pane ySplit="4" topLeftCell="A5" activePane="bottomLeft" state="frozen"/>
      <selection pane="bottomLeft" sqref="A1:H1"/>
    </sheetView>
  </sheetViews>
  <sheetFormatPr defaultRowHeight="14"/>
  <cols>
    <col min="1" max="8" width="18.58203125" customWidth="1"/>
    <col min="9" max="12" width="16" customWidth="1"/>
  </cols>
  <sheetData>
    <row r="1" spans="1:12" ht="28" customHeight="1">
      <c r="A1" s="10" t="s">
        <v>0</v>
      </c>
      <c r="B1" s="11"/>
      <c r="C1" s="11"/>
      <c r="D1" s="11"/>
      <c r="E1" s="11"/>
      <c r="F1" s="11"/>
      <c r="G1" s="11"/>
      <c r="H1" s="11"/>
      <c r="I1" s="1"/>
      <c r="J1" s="1"/>
      <c r="K1" s="1"/>
      <c r="L1" s="1"/>
    </row>
    <row r="2" spans="1:12" ht="32" customHeight="1">
      <c r="A2" s="12" t="s">
        <v>1</v>
      </c>
      <c r="B2" s="11"/>
      <c r="C2" s="11"/>
      <c r="D2" s="11"/>
      <c r="E2" s="11"/>
      <c r="F2" s="11"/>
      <c r="G2" s="11"/>
      <c r="H2" s="11"/>
      <c r="I2" s="1"/>
      <c r="J2" s="1"/>
      <c r="K2" s="1"/>
      <c r="L2" s="1"/>
    </row>
    <row r="3" spans="1:12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32" customHeight="1">
      <c r="A4" s="13" t="s">
        <v>2</v>
      </c>
      <c r="B4" s="11"/>
      <c r="C4" s="11"/>
      <c r="D4" s="11"/>
      <c r="E4" s="11"/>
      <c r="F4" s="11"/>
      <c r="G4" s="11"/>
      <c r="H4" s="11"/>
      <c r="I4" s="1"/>
      <c r="J4" s="1"/>
      <c r="K4" s="1"/>
      <c r="L4" s="1"/>
    </row>
    <row r="5" spans="1:12" ht="32" customHeight="1">
      <c r="A5" s="13" t="s">
        <v>3</v>
      </c>
      <c r="B5" s="11"/>
      <c r="C5" s="11"/>
      <c r="D5" s="11"/>
      <c r="E5" s="11"/>
      <c r="F5" s="11"/>
      <c r="G5" s="11"/>
      <c r="H5" s="11"/>
      <c r="I5" s="1"/>
      <c r="J5" s="1"/>
      <c r="K5" s="1"/>
      <c r="L5" s="1"/>
    </row>
    <row r="6" spans="1:12" ht="32" customHeight="1">
      <c r="A6" s="13" t="s">
        <v>4</v>
      </c>
      <c r="B6" s="11"/>
      <c r="C6" s="11"/>
      <c r="D6" s="11"/>
      <c r="E6" s="11"/>
      <c r="F6" s="11"/>
      <c r="G6" s="11"/>
      <c r="H6" s="11"/>
      <c r="I6" s="1"/>
      <c r="J6" s="1"/>
      <c r="K6" s="1"/>
      <c r="L6" s="1"/>
    </row>
    <row r="7" spans="1:12" ht="32" customHeight="1">
      <c r="A7" s="13" t="s">
        <v>5</v>
      </c>
      <c r="B7" s="11"/>
      <c r="C7" s="11"/>
      <c r="D7" s="11"/>
      <c r="E7" s="11"/>
      <c r="F7" s="11"/>
      <c r="G7" s="11"/>
      <c r="H7" s="11"/>
      <c r="I7" s="1"/>
      <c r="J7" s="1"/>
      <c r="K7" s="1"/>
      <c r="L7" s="1"/>
    </row>
    <row r="8" spans="1:12" ht="32" customHeight="1">
      <c r="A8" s="13" t="s">
        <v>6</v>
      </c>
      <c r="B8" s="11"/>
      <c r="C8" s="11"/>
      <c r="D8" s="11"/>
      <c r="E8" s="11"/>
      <c r="F8" s="11"/>
      <c r="G8" s="11"/>
      <c r="H8" s="11"/>
      <c r="I8" s="1"/>
      <c r="J8" s="1"/>
      <c r="K8" s="1"/>
      <c r="L8" s="1"/>
    </row>
    <row r="9" spans="1:12" ht="32" customHeight="1">
      <c r="A9" s="13" t="s">
        <v>125</v>
      </c>
      <c r="B9" s="11"/>
      <c r="C9" s="11"/>
      <c r="D9" s="11"/>
      <c r="E9" s="11"/>
      <c r="F9" s="11"/>
      <c r="G9" s="11"/>
      <c r="H9" s="11"/>
      <c r="I9" s="1"/>
      <c r="J9" s="1"/>
      <c r="K9" s="1"/>
      <c r="L9" s="1"/>
    </row>
    <row r="10" spans="1:12" ht="32" customHeight="1">
      <c r="A10" s="13" t="s">
        <v>7</v>
      </c>
      <c r="B10" s="11"/>
      <c r="C10" s="11"/>
      <c r="D10" s="11"/>
      <c r="E10" s="11"/>
      <c r="F10" s="11"/>
      <c r="G10" s="11"/>
      <c r="H10" s="11"/>
      <c r="I10" s="1"/>
      <c r="J10" s="1"/>
      <c r="K10" s="1"/>
      <c r="L10" s="1"/>
    </row>
    <row r="11" spans="1:12" ht="32" customHeight="1">
      <c r="A11" s="13" t="s">
        <v>8</v>
      </c>
      <c r="B11" s="11"/>
      <c r="C11" s="11"/>
      <c r="D11" s="11"/>
      <c r="E11" s="11"/>
      <c r="F11" s="11"/>
      <c r="G11" s="11"/>
      <c r="H11" s="11"/>
      <c r="I11" s="1"/>
      <c r="J11" s="1"/>
      <c r="K11" s="1"/>
      <c r="L11" s="1"/>
    </row>
    <row r="12" spans="1:12" ht="32" customHeight="1">
      <c r="A12" s="13" t="s">
        <v>9</v>
      </c>
      <c r="B12" s="11"/>
      <c r="C12" s="11"/>
      <c r="D12" s="11"/>
      <c r="E12" s="11"/>
      <c r="F12" s="11"/>
      <c r="G12" s="11"/>
      <c r="H12" s="11"/>
      <c r="I12" s="1"/>
      <c r="J12" s="1"/>
      <c r="K12" s="1"/>
      <c r="L12" s="1"/>
    </row>
    <row r="13" spans="1:12" ht="32" customHeight="1">
      <c r="A13" s="13" t="s">
        <v>10</v>
      </c>
      <c r="B13" s="11"/>
      <c r="C13" s="11"/>
      <c r="D13" s="11"/>
      <c r="E13" s="11"/>
      <c r="F13" s="11"/>
      <c r="G13" s="11"/>
      <c r="H13" s="11"/>
      <c r="I13" s="1"/>
      <c r="J13" s="1"/>
      <c r="K13" s="1"/>
      <c r="L13" s="1"/>
    </row>
    <row r="14" spans="1:12" ht="22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22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22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22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22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22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22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ht="22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22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22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22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22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2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22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22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22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22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22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22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22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22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22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22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22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22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22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22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ht="22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ht="22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ht="22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ht="22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ht="22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ht="22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ht="2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2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2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22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22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22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22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22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22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22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22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22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22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22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22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22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22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22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22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22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22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22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22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22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22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22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22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22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22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22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22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22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22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22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22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2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2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2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2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2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2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2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2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2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2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2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2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2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2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2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2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2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2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2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2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2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2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2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2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2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2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2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2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2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</sheetData>
  <mergeCells count="12">
    <mergeCell ref="A12:H12"/>
    <mergeCell ref="A13:H13"/>
    <mergeCell ref="A7:H7"/>
    <mergeCell ref="A8:H8"/>
    <mergeCell ref="A9:H9"/>
    <mergeCell ref="A10:H10"/>
    <mergeCell ref="A11:H11"/>
    <mergeCell ref="A1:H1"/>
    <mergeCell ref="A2:H2"/>
    <mergeCell ref="A4:H4"/>
    <mergeCell ref="A5:H5"/>
    <mergeCell ref="A6:H6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10"/>
  <sheetViews>
    <sheetView showGridLines="0" zoomScale="90" zoomScaleNormal="90" workbookViewId="0">
      <pane ySplit="4" topLeftCell="A5" activePane="bottomLeft" state="frozen"/>
      <selection pane="bottomLeft" sqref="A1:H1"/>
    </sheetView>
  </sheetViews>
  <sheetFormatPr defaultRowHeight="14"/>
  <cols>
    <col min="1" max="8" width="18.58203125" customWidth="1"/>
    <col min="9" max="12" width="16" customWidth="1"/>
  </cols>
  <sheetData>
    <row r="1" spans="1:12" ht="28" customHeight="1">
      <c r="A1" s="10" t="s">
        <v>11</v>
      </c>
      <c r="B1" s="11"/>
      <c r="C1" s="11"/>
      <c r="D1" s="11"/>
      <c r="E1" s="11"/>
      <c r="F1" s="11"/>
      <c r="G1" s="11"/>
      <c r="H1" s="11"/>
      <c r="I1" s="1"/>
      <c r="J1" s="1"/>
      <c r="K1" s="1"/>
      <c r="L1" s="1"/>
    </row>
    <row r="2" spans="1:12" ht="32" customHeight="1">
      <c r="A2" s="12" t="s">
        <v>12</v>
      </c>
      <c r="B2" s="11"/>
      <c r="C2" s="11"/>
      <c r="D2" s="11"/>
      <c r="E2" s="11"/>
      <c r="F2" s="11"/>
      <c r="G2" s="11"/>
      <c r="H2" s="11"/>
      <c r="I2" s="1"/>
      <c r="J2" s="1"/>
      <c r="K2" s="1"/>
      <c r="L2" s="1"/>
    </row>
    <row r="3" spans="1:12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22" customHeight="1">
      <c r="A4" s="2" t="s">
        <v>13</v>
      </c>
      <c r="B4" s="2" t="s">
        <v>14</v>
      </c>
      <c r="C4" s="2" t="s">
        <v>15</v>
      </c>
      <c r="D4" s="2" t="s">
        <v>16</v>
      </c>
      <c r="E4" s="1"/>
      <c r="F4" s="1"/>
      <c r="G4" s="1"/>
      <c r="H4" s="1"/>
      <c r="I4" s="1"/>
      <c r="J4" s="1"/>
      <c r="K4" s="1"/>
      <c r="L4" s="1"/>
    </row>
    <row r="5" spans="1:12" ht="22" customHeight="1">
      <c r="A5" s="1" t="s">
        <v>17</v>
      </c>
      <c r="B5" s="9">
        <v>1.1000000000000001</v>
      </c>
      <c r="C5" s="9">
        <v>2</v>
      </c>
      <c r="D5" s="1" t="s">
        <v>18</v>
      </c>
      <c r="E5" s="1"/>
      <c r="F5" s="1"/>
      <c r="G5" s="1"/>
      <c r="H5" s="1"/>
      <c r="I5" s="1"/>
      <c r="J5" s="1"/>
      <c r="K5" s="1"/>
      <c r="L5" s="1"/>
    </row>
    <row r="6" spans="1:12" ht="22" customHeight="1">
      <c r="A6" s="1" t="s">
        <v>19</v>
      </c>
      <c r="B6" s="9">
        <v>1.7</v>
      </c>
      <c r="C6" s="9"/>
      <c r="D6" s="1" t="s">
        <v>20</v>
      </c>
      <c r="E6" s="1"/>
      <c r="F6" s="1"/>
      <c r="G6" s="1"/>
      <c r="H6" s="1"/>
      <c r="I6" s="1"/>
      <c r="J6" s="1"/>
      <c r="K6" s="1"/>
      <c r="L6" s="1"/>
    </row>
    <row r="7" spans="1:12" ht="22" customHeight="1">
      <c r="A7" s="1" t="s">
        <v>21</v>
      </c>
      <c r="B7" s="9">
        <v>1.5</v>
      </c>
      <c r="C7" s="9">
        <v>1.7</v>
      </c>
      <c r="D7" s="1" t="s">
        <v>22</v>
      </c>
      <c r="E7" s="1"/>
      <c r="F7" s="1"/>
      <c r="G7" s="1"/>
      <c r="H7" s="1"/>
      <c r="I7" s="1"/>
      <c r="J7" s="1"/>
      <c r="K7" s="1"/>
      <c r="L7" s="1"/>
    </row>
    <row r="8" spans="1:12" ht="22" customHeight="1">
      <c r="A8" s="1" t="s">
        <v>23</v>
      </c>
      <c r="B8" s="9">
        <v>5</v>
      </c>
      <c r="C8" s="9"/>
      <c r="D8" s="1" t="s">
        <v>24</v>
      </c>
      <c r="E8" s="1"/>
      <c r="F8" s="1"/>
      <c r="G8" s="1"/>
      <c r="H8" s="1"/>
      <c r="I8" s="1"/>
      <c r="J8" s="1"/>
      <c r="K8" s="1"/>
      <c r="L8" s="1"/>
    </row>
    <row r="9" spans="1:12" ht="22" customHeight="1">
      <c r="A9" s="1" t="s">
        <v>25</v>
      </c>
      <c r="B9" s="9">
        <v>1E-8</v>
      </c>
      <c r="C9" s="9">
        <v>100</v>
      </c>
      <c r="D9" s="1" t="s">
        <v>26</v>
      </c>
      <c r="E9" s="1"/>
      <c r="F9" s="1"/>
      <c r="G9" s="1"/>
      <c r="H9" s="1"/>
      <c r="I9" s="1"/>
      <c r="J9" s="1"/>
      <c r="K9" s="1"/>
      <c r="L9" s="1"/>
    </row>
    <row r="10" spans="1:12" ht="22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22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22" customHeight="1">
      <c r="A12" s="2" t="s">
        <v>27</v>
      </c>
      <c r="B12" s="2" t="s">
        <v>28</v>
      </c>
      <c r="C12" s="2" t="s">
        <v>29</v>
      </c>
      <c r="D12" s="2" t="s">
        <v>30</v>
      </c>
      <c r="E12" s="1"/>
      <c r="F12" s="1"/>
      <c r="G12" s="1"/>
      <c r="H12" s="1"/>
      <c r="I12" s="1"/>
      <c r="J12" s="1"/>
      <c r="K12" s="1"/>
      <c r="L12" s="1"/>
    </row>
    <row r="13" spans="1:12" ht="22" customHeight="1">
      <c r="A13" s="1" t="s">
        <v>31</v>
      </c>
      <c r="B13" s="3">
        <f>NM_Root(A13,1,B5,C5,$B$9,$C$9)</f>
        <v>1.397748475521803</v>
      </c>
      <c r="C13" s="8">
        <f>NM_E1(B13)</f>
        <v>-9.2929586248402529E-10</v>
      </c>
      <c r="D13" s="1" t="str">
        <f>IF(ABS(C13)&lt;=$B$9,"殘差達標","未達 tol")</f>
        <v>殘差達標</v>
      </c>
      <c r="E13" s="1"/>
      <c r="F13" s="1"/>
      <c r="G13" s="1"/>
      <c r="H13" s="1"/>
      <c r="I13" s="1"/>
      <c r="J13" s="1"/>
      <c r="K13" s="1"/>
      <c r="L13" s="1"/>
    </row>
    <row r="14" spans="1:12" ht="22" customHeight="1">
      <c r="A14" s="1" t="s">
        <v>32</v>
      </c>
      <c r="B14" s="3">
        <f>NM_Root(A14,1,B5,C5,$B$9,$C$9)</f>
        <v>1.3977484790723378</v>
      </c>
      <c r="C14" s="8">
        <f>NM_E1(B14)</f>
        <v>6.62201016243813E-9</v>
      </c>
      <c r="D14" s="1" t="str">
        <f>IF(ABS(C14)&lt;=$B$9,"殘差達標","未達 tol")</f>
        <v>殘差達標</v>
      </c>
      <c r="E14" s="1"/>
      <c r="F14" s="1"/>
      <c r="G14" s="1"/>
      <c r="H14" s="1"/>
      <c r="I14" s="1"/>
      <c r="J14" s="1"/>
      <c r="K14" s="1"/>
      <c r="L14" s="1"/>
    </row>
    <row r="15" spans="1:12" ht="22" customHeight="1">
      <c r="A15" s="1" t="s">
        <v>33</v>
      </c>
      <c r="B15" s="3">
        <f>NM_Root(A15,1,B6,0,$B$9,$C$9)</f>
        <v>1.3977484759587471</v>
      </c>
      <c r="C15" s="8">
        <f>NM_E1(B15)</f>
        <v>2.2204460492503131E-16</v>
      </c>
      <c r="D15" s="1" t="str">
        <f>IF(ABS(C15)&lt;=$B$9,"殘差達標","未達 tol")</f>
        <v>殘差達標</v>
      </c>
      <c r="E15" s="1"/>
      <c r="F15" s="1"/>
      <c r="G15" s="1"/>
      <c r="H15" s="1"/>
      <c r="I15" s="1"/>
      <c r="J15" s="1"/>
      <c r="K15" s="1"/>
      <c r="L15" s="1"/>
    </row>
    <row r="16" spans="1:12" ht="22" customHeight="1">
      <c r="A16" s="1" t="s">
        <v>34</v>
      </c>
      <c r="B16" s="3">
        <f>NM_Root(A16,1,B7,C7,$B$9,$C$9)</f>
        <v>1.3977484759587457</v>
      </c>
      <c r="C16" s="8">
        <f>NM_E1(B16)</f>
        <v>-2.6645352591003757E-15</v>
      </c>
      <c r="D16" s="1" t="str">
        <f>IF(ABS(C16)&lt;=$B$9,"殘差達標","未達 tol")</f>
        <v>殘差達標</v>
      </c>
      <c r="E16" s="1"/>
      <c r="F16" s="1"/>
      <c r="G16" s="1"/>
      <c r="H16" s="1"/>
      <c r="I16" s="1"/>
      <c r="J16" s="1"/>
      <c r="K16" s="1"/>
      <c r="L16" s="1"/>
    </row>
    <row r="17" spans="1:12" ht="22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22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32" customHeight="1">
      <c r="A19" s="13" t="s">
        <v>35</v>
      </c>
      <c r="B19" s="11"/>
      <c r="C19" s="11"/>
      <c r="D19" s="11"/>
      <c r="E19" s="11"/>
      <c r="F19" s="11"/>
      <c r="G19" s="11"/>
      <c r="H19" s="11"/>
      <c r="I19" s="1"/>
      <c r="J19" s="1"/>
      <c r="K19" s="1"/>
      <c r="L19" s="1"/>
    </row>
    <row r="20" spans="1:12" ht="32" customHeight="1">
      <c r="A20" s="13" t="s">
        <v>36</v>
      </c>
      <c r="B20" s="11"/>
      <c r="C20" s="11"/>
      <c r="D20" s="11"/>
      <c r="E20" s="11"/>
      <c r="F20" s="11"/>
      <c r="G20" s="11"/>
      <c r="H20" s="11"/>
      <c r="I20" s="1"/>
      <c r="J20" s="1"/>
      <c r="K20" s="1"/>
      <c r="L20" s="1"/>
    </row>
    <row r="21" spans="1:12" ht="32" customHeight="1">
      <c r="A21" s="13" t="s">
        <v>37</v>
      </c>
      <c r="B21" s="11"/>
      <c r="C21" s="11"/>
      <c r="D21" s="11"/>
      <c r="E21" s="11"/>
      <c r="F21" s="11"/>
      <c r="G21" s="11"/>
      <c r="H21" s="11"/>
      <c r="I21" s="1"/>
      <c r="J21" s="1"/>
      <c r="K21" s="1"/>
      <c r="L21" s="1"/>
    </row>
    <row r="22" spans="1:12" ht="22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22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22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22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2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22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22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22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22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22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22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22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22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22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22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22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22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22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22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ht="22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ht="22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ht="22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ht="22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ht="22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ht="22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ht="2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2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2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22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22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22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22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22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22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22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22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22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22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22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22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22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22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22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22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22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22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22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22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22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22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22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22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22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22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22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22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22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22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22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22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2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2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2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2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2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2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2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2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2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2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2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2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2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2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2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2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2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2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2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2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2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2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2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2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2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2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2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2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2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</sheetData>
  <mergeCells count="5">
    <mergeCell ref="A1:H1"/>
    <mergeCell ref="A2:H2"/>
    <mergeCell ref="A19:H19"/>
    <mergeCell ref="A20:H20"/>
    <mergeCell ref="A21:H21"/>
  </mergeCells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110"/>
  <sheetViews>
    <sheetView showGridLines="0" zoomScale="90" zoomScaleNormal="90" workbookViewId="0">
      <pane ySplit="4" topLeftCell="A5" activePane="bottomLeft" state="frozen"/>
      <selection pane="bottomLeft" sqref="A1:H1"/>
    </sheetView>
  </sheetViews>
  <sheetFormatPr defaultRowHeight="14"/>
  <cols>
    <col min="1" max="8" width="18.58203125" customWidth="1"/>
    <col min="9" max="41" width="17" customWidth="1"/>
  </cols>
  <sheetData>
    <row r="1" spans="1:39" ht="28" customHeight="1">
      <c r="A1" s="10" t="s">
        <v>38</v>
      </c>
      <c r="B1" s="11"/>
      <c r="C1" s="11"/>
      <c r="D1" s="11"/>
      <c r="E1" s="11"/>
      <c r="F1" s="11"/>
      <c r="G1" s="11"/>
      <c r="H1" s="11"/>
      <c r="I1" s="1"/>
      <c r="J1" s="1"/>
      <c r="K1" s="1"/>
      <c r="L1" s="1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</row>
    <row r="2" spans="1:39" ht="32" customHeight="1">
      <c r="A2" s="12" t="s">
        <v>119</v>
      </c>
      <c r="B2" s="11"/>
      <c r="C2" s="11"/>
      <c r="D2" s="11"/>
      <c r="E2" s="11"/>
      <c r="F2" s="11"/>
      <c r="G2" s="11"/>
      <c r="H2" s="11"/>
      <c r="I2" s="1" t="s">
        <v>120</v>
      </c>
      <c r="J2" s="1"/>
      <c r="K2" s="1"/>
      <c r="L2" s="1"/>
      <c r="M2" s="4"/>
      <c r="N2" s="4"/>
      <c r="O2" s="4"/>
      <c r="P2" s="4"/>
      <c r="Q2" s="4" t="s">
        <v>121</v>
      </c>
      <c r="R2" s="4"/>
      <c r="S2" s="4"/>
      <c r="T2" s="4"/>
      <c r="U2" s="4"/>
      <c r="V2" s="4"/>
      <c r="W2" s="4"/>
      <c r="X2" s="4"/>
      <c r="Y2" s="4" t="s">
        <v>122</v>
      </c>
      <c r="Z2" s="4"/>
      <c r="AA2" s="4"/>
      <c r="AB2" s="4"/>
      <c r="AC2" s="4"/>
      <c r="AD2" s="4"/>
      <c r="AE2" s="4"/>
      <c r="AF2" s="4"/>
      <c r="AG2" s="4" t="s">
        <v>124</v>
      </c>
      <c r="AH2" s="4"/>
      <c r="AI2" s="4"/>
      <c r="AJ2" s="4"/>
      <c r="AK2" s="4"/>
      <c r="AL2" s="4"/>
      <c r="AM2" s="4"/>
    </row>
    <row r="3" spans="1:39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22" customHeight="1">
      <c r="A4" s="5" t="s">
        <v>39</v>
      </c>
      <c r="B4" s="5" t="s">
        <v>14</v>
      </c>
      <c r="C4" s="5" t="s">
        <v>15</v>
      </c>
      <c r="D4" s="5" t="s">
        <v>40</v>
      </c>
      <c r="E4" s="5" t="s">
        <v>41</v>
      </c>
      <c r="F4" s="5" t="s">
        <v>42</v>
      </c>
      <c r="G4" s="5" t="s">
        <v>43</v>
      </c>
      <c r="H4" s="1"/>
      <c r="I4" s="5" t="s">
        <v>39</v>
      </c>
      <c r="J4" s="5" t="s">
        <v>14</v>
      </c>
      <c r="K4" s="5" t="s">
        <v>15</v>
      </c>
      <c r="L4" s="5" t="s">
        <v>40</v>
      </c>
      <c r="M4" s="5" t="s">
        <v>41</v>
      </c>
      <c r="N4" s="5" t="s">
        <v>42</v>
      </c>
      <c r="O4" s="5" t="s">
        <v>43</v>
      </c>
      <c r="P4" s="4"/>
      <c r="Q4" s="5" t="s">
        <v>39</v>
      </c>
      <c r="R4" s="5" t="s">
        <v>14</v>
      </c>
      <c r="S4" s="5" t="s">
        <v>15</v>
      </c>
      <c r="T4" s="5" t="s">
        <v>40</v>
      </c>
      <c r="U4" s="5" t="s">
        <v>41</v>
      </c>
      <c r="V4" s="5" t="s">
        <v>42</v>
      </c>
      <c r="W4" s="5" t="s">
        <v>43</v>
      </c>
      <c r="X4" s="4"/>
      <c r="Y4" s="5" t="s">
        <v>39</v>
      </c>
      <c r="Z4" s="5" t="s">
        <v>14</v>
      </c>
      <c r="AA4" s="5" t="s">
        <v>15</v>
      </c>
      <c r="AB4" s="5" t="s">
        <v>40</v>
      </c>
      <c r="AC4" s="5" t="s">
        <v>41</v>
      </c>
      <c r="AD4" s="5" t="s">
        <v>42</v>
      </c>
      <c r="AE4" s="5" t="s">
        <v>43</v>
      </c>
      <c r="AF4" s="4"/>
      <c r="AG4" s="5" t="s">
        <v>39</v>
      </c>
      <c r="AH4" s="5" t="s">
        <v>14</v>
      </c>
      <c r="AI4" s="5" t="s">
        <v>15</v>
      </c>
      <c r="AJ4" s="5" t="s">
        <v>40</v>
      </c>
      <c r="AK4" s="5" t="s">
        <v>41</v>
      </c>
      <c r="AL4" s="5" t="s">
        <v>42</v>
      </c>
      <c r="AM4" s="5" t="s">
        <v>43</v>
      </c>
    </row>
    <row r="5" spans="1:39" ht="22" customHeight="1">
      <c r="A5" s="14">
        <v>1</v>
      </c>
      <c r="B5" s="3">
        <v>1.1000000000000001</v>
      </c>
      <c r="C5" s="3">
        <v>2</v>
      </c>
      <c r="D5" s="3">
        <v>1.55</v>
      </c>
      <c r="E5" s="8">
        <v>0.25468752130388528</v>
      </c>
      <c r="F5" s="8">
        <v>0.44999999999999996</v>
      </c>
      <c r="G5" s="1"/>
      <c r="H5" s="1"/>
      <c r="I5" s="14">
        <v>1</v>
      </c>
      <c r="J5" s="3">
        <v>1.1000000000000001</v>
      </c>
      <c r="K5" s="3">
        <v>2</v>
      </c>
      <c r="L5" s="3">
        <v>1.7368491328653102</v>
      </c>
      <c r="M5" s="16">
        <v>0.43521736895609031</v>
      </c>
      <c r="N5" s="16">
        <v>0.63684913286531009</v>
      </c>
      <c r="O5" s="4"/>
      <c r="P5" s="4"/>
      <c r="Q5" s="15">
        <v>1</v>
      </c>
      <c r="R5" s="6">
        <v>1.7</v>
      </c>
      <c r="S5" s="6">
        <v>0</v>
      </c>
      <c r="T5" s="6">
        <v>1.179613314967177</v>
      </c>
      <c r="U5" s="16">
        <v>-0.73303614178563814</v>
      </c>
      <c r="V5" s="16">
        <v>0.52038668503282293</v>
      </c>
      <c r="W5" s="4"/>
      <c r="X5" s="4"/>
      <c r="Y5" s="15">
        <v>1</v>
      </c>
      <c r="Z5" s="6">
        <v>1.5</v>
      </c>
      <c r="AA5" s="6">
        <v>1.7</v>
      </c>
      <c r="AB5" s="6">
        <v>1.3351281934820789</v>
      </c>
      <c r="AC5" s="16">
        <v>-0.1488739974367167</v>
      </c>
      <c r="AD5" s="16">
        <v>0.1648718065179211</v>
      </c>
      <c r="AE5" s="4"/>
      <c r="AF5" s="4"/>
      <c r="AG5" s="15">
        <v>1</v>
      </c>
      <c r="AH5" s="6">
        <v>5</v>
      </c>
      <c r="AI5" s="6">
        <v>0</v>
      </c>
      <c r="AJ5" s="6">
        <v>4.2722994393928282</v>
      </c>
      <c r="AK5" s="16">
        <v>0.19402290777468767</v>
      </c>
      <c r="AL5" s="16">
        <v>0.72770056060717181</v>
      </c>
      <c r="AM5" s="4"/>
    </row>
    <row r="6" spans="1:39" ht="22" customHeight="1">
      <c r="A6" s="14">
        <v>2</v>
      </c>
      <c r="B6" s="3">
        <v>1.1000000000000001</v>
      </c>
      <c r="C6" s="3">
        <v>1.55</v>
      </c>
      <c r="D6" s="3">
        <v>1.3250000000000002</v>
      </c>
      <c r="E6" s="8">
        <v>-0.17627937023758344</v>
      </c>
      <c r="F6" s="8">
        <v>0.22499999999999998</v>
      </c>
      <c r="G6" s="1"/>
      <c r="H6" s="1"/>
      <c r="I6" s="14">
        <v>2</v>
      </c>
      <c r="J6" s="3">
        <v>1.1000000000000001</v>
      </c>
      <c r="K6" s="3">
        <v>1.7368491328653102</v>
      </c>
      <c r="L6" s="3">
        <v>1.5778130559097252</v>
      </c>
      <c r="M6" s="16">
        <v>0.28915425107782133</v>
      </c>
      <c r="N6" s="16">
        <v>0.15903607695558497</v>
      </c>
      <c r="O6" s="4"/>
      <c r="P6" s="4"/>
      <c r="Q6" s="15">
        <v>2</v>
      </c>
      <c r="R6" s="6">
        <v>1.179613314967177</v>
      </c>
      <c r="S6" s="6">
        <v>0</v>
      </c>
      <c r="T6" s="6">
        <v>1.3156411965503858</v>
      </c>
      <c r="U6" s="16">
        <v>-0.20255163424274436</v>
      </c>
      <c r="V6" s="16">
        <v>0.13602788158320878</v>
      </c>
      <c r="W6" s="4"/>
      <c r="X6" s="4"/>
      <c r="Y6" s="15">
        <v>2</v>
      </c>
      <c r="Z6" s="6">
        <v>1.7</v>
      </c>
      <c r="AA6" s="6">
        <v>1.3351281934820789</v>
      </c>
      <c r="AB6" s="6">
        <v>1.4326432792807107</v>
      </c>
      <c r="AC6" s="16">
        <v>7.0018943669242883E-2</v>
      </c>
      <c r="AD6" s="16">
        <v>9.7515085798631773E-2</v>
      </c>
      <c r="AE6" s="4"/>
      <c r="AF6" s="4"/>
      <c r="AG6" s="15">
        <v>2</v>
      </c>
      <c r="AH6" s="6">
        <v>4.2722994393928282</v>
      </c>
      <c r="AI6" s="6">
        <v>0</v>
      </c>
      <c r="AJ6" s="6">
        <v>3.8272217590061253</v>
      </c>
      <c r="AK6" s="16">
        <v>8.8303420891889139E-2</v>
      </c>
      <c r="AL6" s="16">
        <v>0.44507768038670292</v>
      </c>
      <c r="AM6" s="4"/>
    </row>
    <row r="7" spans="1:39" ht="22" customHeight="1">
      <c r="A7" s="14">
        <v>3</v>
      </c>
      <c r="B7" s="3">
        <v>1.3250000000000002</v>
      </c>
      <c r="C7" s="3">
        <v>1.55</v>
      </c>
      <c r="D7" s="3">
        <v>1.4375</v>
      </c>
      <c r="E7" s="8">
        <v>7.9135110241468465E-2</v>
      </c>
      <c r="F7" s="8">
        <v>0.11249999999999993</v>
      </c>
      <c r="G7" s="1"/>
      <c r="H7" s="1"/>
      <c r="I7" s="14">
        <v>3</v>
      </c>
      <c r="J7" s="3">
        <v>1.1000000000000001</v>
      </c>
      <c r="K7" s="3">
        <v>1.5778130559097252</v>
      </c>
      <c r="L7" s="3">
        <v>1.4912854474673862</v>
      </c>
      <c r="M7" s="16">
        <v>0.17099720424084519</v>
      </c>
      <c r="N7" s="16">
        <v>8.6527608442338977E-2</v>
      </c>
      <c r="O7" s="4"/>
      <c r="P7" s="4"/>
      <c r="Q7" s="15">
        <v>3</v>
      </c>
      <c r="R7" s="6">
        <v>1.3156411965503858</v>
      </c>
      <c r="S7" s="6">
        <v>0</v>
      </c>
      <c r="T7" s="6">
        <v>1.3865197476355049</v>
      </c>
      <c r="U7" s="16">
        <v>-2.434571126472973E-2</v>
      </c>
      <c r="V7" s="16">
        <v>7.087855108511909E-2</v>
      </c>
      <c r="W7" s="4"/>
      <c r="X7" s="4"/>
      <c r="Y7" s="15">
        <v>3</v>
      </c>
      <c r="Z7" s="6">
        <v>1.3351281934820789</v>
      </c>
      <c r="AA7" s="6">
        <v>1.4326432792807107</v>
      </c>
      <c r="AB7" s="6">
        <v>1.4014503898940649</v>
      </c>
      <c r="AC7" s="16">
        <v>7.8239018492670676E-3</v>
      </c>
      <c r="AD7" s="16">
        <v>3.1192889386645772E-2</v>
      </c>
      <c r="AE7" s="4"/>
      <c r="AF7" s="4"/>
      <c r="AG7" s="15">
        <v>3</v>
      </c>
      <c r="AH7" s="6">
        <v>3.8272217590061253</v>
      </c>
      <c r="AI7" s="6">
        <v>0</v>
      </c>
      <c r="AJ7" s="6">
        <v>1.842244790815182</v>
      </c>
      <c r="AK7" s="16">
        <v>0.49410499594979984</v>
      </c>
      <c r="AL7" s="16">
        <v>1.9849769681909433</v>
      </c>
      <c r="AM7" s="4"/>
    </row>
    <row r="8" spans="1:39" ht="22" customHeight="1">
      <c r="A8" s="14">
        <v>4</v>
      </c>
      <c r="B8" s="3">
        <v>1.3250000000000002</v>
      </c>
      <c r="C8" s="3">
        <v>1.4375</v>
      </c>
      <c r="D8" s="3">
        <v>1.3812500000000001</v>
      </c>
      <c r="E8" s="8">
        <v>-3.6099691469181239E-2</v>
      </c>
      <c r="F8" s="8">
        <v>5.6249999999999911E-2</v>
      </c>
      <c r="G8" s="1"/>
      <c r="H8" s="1"/>
      <c r="I8" s="14">
        <v>4</v>
      </c>
      <c r="J8" s="3">
        <v>1.1000000000000001</v>
      </c>
      <c r="K8" s="3">
        <v>1.4912854474673862</v>
      </c>
      <c r="L8" s="3">
        <v>1.4460333798688354</v>
      </c>
      <c r="M8" s="16">
        <v>9.4803870022834524E-2</v>
      </c>
      <c r="N8" s="16">
        <v>4.5252067598550827E-2</v>
      </c>
      <c r="O8" s="4"/>
      <c r="P8" s="4"/>
      <c r="Q8" s="15">
        <v>4</v>
      </c>
      <c r="R8" s="6">
        <v>1.3865197476355049</v>
      </c>
      <c r="S8" s="6">
        <v>0</v>
      </c>
      <c r="T8" s="6">
        <v>1.3975347964473122</v>
      </c>
      <c r="U8" s="16">
        <v>-4.5462072296165168E-4</v>
      </c>
      <c r="V8" s="16">
        <v>1.101504881180726E-2</v>
      </c>
      <c r="W8" s="4"/>
      <c r="X8" s="4"/>
      <c r="Y8" s="15">
        <v>4</v>
      </c>
      <c r="Z8" s="6">
        <v>1.4326432792807107</v>
      </c>
      <c r="AA8" s="6">
        <v>1.4014503898940649</v>
      </c>
      <c r="AB8" s="6">
        <v>1.3975264419745095</v>
      </c>
      <c r="AC8" s="16">
        <v>-4.7240227254274902E-4</v>
      </c>
      <c r="AD8" s="16">
        <v>3.923947919555415E-3</v>
      </c>
      <c r="AE8" s="4"/>
      <c r="AF8" s="4"/>
      <c r="AG8" s="15">
        <v>4</v>
      </c>
      <c r="AH8" s="6"/>
      <c r="AI8" s="6"/>
      <c r="AJ8" s="6">
        <v>0.7222410966128292</v>
      </c>
      <c r="AK8" s="16"/>
      <c r="AL8" s="16"/>
      <c r="AM8" s="4" t="s">
        <v>123</v>
      </c>
    </row>
    <row r="9" spans="1:39" ht="22" customHeight="1">
      <c r="A9" s="14">
        <v>5</v>
      </c>
      <c r="B9" s="3">
        <v>1.3812500000000001</v>
      </c>
      <c r="C9" s="3">
        <v>1.4375</v>
      </c>
      <c r="D9" s="3">
        <v>1.409375</v>
      </c>
      <c r="E9" s="8">
        <v>2.424610191260046E-2</v>
      </c>
      <c r="F9" s="8">
        <v>2.8124999999999956E-2</v>
      </c>
      <c r="G9" s="1"/>
      <c r="H9" s="1"/>
      <c r="I9" s="14">
        <v>5</v>
      </c>
      <c r="J9" s="3">
        <v>1.1000000000000001</v>
      </c>
      <c r="K9" s="3">
        <v>1.4460333798688354</v>
      </c>
      <c r="L9" s="3">
        <v>1.4226408676128974</v>
      </c>
      <c r="M9" s="16">
        <v>5.0776442880658412E-2</v>
      </c>
      <c r="N9" s="16">
        <v>2.3392512255937969E-2</v>
      </c>
      <c r="O9" s="4"/>
      <c r="P9" s="4"/>
      <c r="Q9" s="15">
        <v>5</v>
      </c>
      <c r="R9" s="6">
        <v>1.3975347964473122</v>
      </c>
      <c r="S9" s="6">
        <v>0</v>
      </c>
      <c r="T9" s="6">
        <v>1.3977483982198453</v>
      </c>
      <c r="U9" s="16">
        <v>-1.6533574898058845E-7</v>
      </c>
      <c r="V9" s="16">
        <v>2.1360177253315626E-4</v>
      </c>
      <c r="W9" s="4"/>
      <c r="X9" s="4"/>
      <c r="Y9" s="15">
        <v>5</v>
      </c>
      <c r="Z9" s="6">
        <v>1.4014503898940649</v>
      </c>
      <c r="AA9" s="6">
        <v>1.3975264419745095</v>
      </c>
      <c r="AB9" s="6">
        <v>1.397749876637381</v>
      </c>
      <c r="AC9" s="16">
        <v>2.9789675823899131E-6</v>
      </c>
      <c r="AD9" s="16">
        <v>2.2343466287155778E-4</v>
      </c>
      <c r="AE9" s="4"/>
      <c r="AF9" s="4"/>
      <c r="AG9" s="15"/>
      <c r="AH9" s="6"/>
      <c r="AI9" s="6"/>
      <c r="AJ9" s="6"/>
      <c r="AK9" s="16"/>
      <c r="AL9" s="16"/>
      <c r="AM9" s="4"/>
    </row>
    <row r="10" spans="1:39" ht="22" customHeight="1">
      <c r="A10" s="14">
        <v>6</v>
      </c>
      <c r="B10" s="3">
        <v>1.3812500000000001</v>
      </c>
      <c r="C10" s="3">
        <v>1.409375</v>
      </c>
      <c r="D10" s="3">
        <v>1.3953125000000002</v>
      </c>
      <c r="E10" s="8">
        <v>-5.2024208883162393E-3</v>
      </c>
      <c r="F10" s="8">
        <v>1.4062499999999978E-2</v>
      </c>
      <c r="G10" s="1"/>
      <c r="H10" s="1"/>
      <c r="I10" s="14">
        <v>6</v>
      </c>
      <c r="J10" s="3">
        <v>1.1000000000000001</v>
      </c>
      <c r="K10" s="3">
        <v>1.4226408676128974</v>
      </c>
      <c r="L10" s="3">
        <v>1.4105803039203575</v>
      </c>
      <c r="M10" s="16">
        <v>2.6705609284514154E-2</v>
      </c>
      <c r="N10" s="16">
        <v>1.2060563692539938E-2</v>
      </c>
      <c r="O10" s="4"/>
      <c r="P10" s="4"/>
      <c r="Q10" s="15">
        <v>6</v>
      </c>
      <c r="R10" s="6">
        <v>1.3977483982198453</v>
      </c>
      <c r="S10" s="6">
        <v>0</v>
      </c>
      <c r="T10" s="6">
        <v>1.3977484759587366</v>
      </c>
      <c r="U10" s="16">
        <v>-2.19824158875781E-14</v>
      </c>
      <c r="V10" s="16">
        <v>7.7738891324230508E-8</v>
      </c>
      <c r="W10" s="4"/>
      <c r="X10" s="4"/>
      <c r="Y10" s="15">
        <v>6</v>
      </c>
      <c r="Z10" s="6">
        <v>1.3975264419745095</v>
      </c>
      <c r="AA10" s="6">
        <v>1.397749876637381</v>
      </c>
      <c r="AB10" s="6">
        <v>1.3977484764882768</v>
      </c>
      <c r="AC10" s="16">
        <v>1.1262083488006169E-9</v>
      </c>
      <c r="AD10" s="16">
        <v>1.4001491042137104E-6</v>
      </c>
      <c r="AE10" s="4"/>
      <c r="AF10" s="4"/>
      <c r="AG10" s="15"/>
      <c r="AH10" s="6"/>
      <c r="AI10" s="6"/>
      <c r="AJ10" s="6"/>
      <c r="AK10" s="16"/>
      <c r="AL10" s="16"/>
      <c r="AM10" s="4"/>
    </row>
    <row r="11" spans="1:39" ht="22" customHeight="1">
      <c r="A11" s="14">
        <v>7</v>
      </c>
      <c r="B11" s="3">
        <v>1.3953125000000002</v>
      </c>
      <c r="C11" s="3">
        <v>1.409375</v>
      </c>
      <c r="D11" s="3">
        <v>1.40234375</v>
      </c>
      <c r="E11" s="8">
        <v>9.6973095803556397E-3</v>
      </c>
      <c r="F11" s="8">
        <v>7.0312499999999334E-3</v>
      </c>
      <c r="G11" s="1"/>
      <c r="H11" s="1"/>
      <c r="I11" s="14">
        <v>7</v>
      </c>
      <c r="J11" s="3">
        <v>1.1000000000000001</v>
      </c>
      <c r="K11" s="3">
        <v>1.4105803039203575</v>
      </c>
      <c r="L11" s="3">
        <v>1.4043640707365856</v>
      </c>
      <c r="M11" s="16">
        <v>1.3913137726683789E-2</v>
      </c>
      <c r="N11" s="16">
        <v>6.2162331837718465E-3</v>
      </c>
      <c r="O11" s="4"/>
      <c r="P11" s="4"/>
      <c r="Q11" s="15">
        <v>7</v>
      </c>
      <c r="R11" s="6">
        <v>1.3977484759587366</v>
      </c>
      <c r="S11" s="6">
        <v>0</v>
      </c>
      <c r="T11" s="6">
        <v>1.3977484759587471</v>
      </c>
      <c r="U11" s="16">
        <v>2.2204460492503131E-16</v>
      </c>
      <c r="V11" s="16">
        <v>1.0436096431476471E-14</v>
      </c>
      <c r="W11" s="4" t="s">
        <v>118</v>
      </c>
      <c r="X11" s="4"/>
      <c r="Y11" s="15">
        <v>7</v>
      </c>
      <c r="Z11" s="6">
        <v>1.397749876637381</v>
      </c>
      <c r="AA11" s="6">
        <v>1.3977484764882768</v>
      </c>
      <c r="AB11" s="6">
        <v>1.3977484759587457</v>
      </c>
      <c r="AC11" s="16">
        <v>-2.6645352591003757E-15</v>
      </c>
      <c r="AD11" s="16">
        <v>5.2953108564679496E-10</v>
      </c>
      <c r="AE11" s="4" t="s">
        <v>118</v>
      </c>
      <c r="AF11" s="4"/>
      <c r="AG11" s="15"/>
      <c r="AH11" s="6"/>
      <c r="AI11" s="6"/>
      <c r="AJ11" s="6"/>
      <c r="AK11" s="16"/>
      <c r="AL11" s="16"/>
      <c r="AM11" s="4"/>
    </row>
    <row r="12" spans="1:39" ht="22" customHeight="1">
      <c r="A12" s="14">
        <v>8</v>
      </c>
      <c r="B12" s="3">
        <v>1.3953125000000002</v>
      </c>
      <c r="C12" s="3">
        <v>1.40234375</v>
      </c>
      <c r="D12" s="3">
        <v>1.3988281250000001</v>
      </c>
      <c r="E12" s="8">
        <v>2.2919917670639611E-3</v>
      </c>
      <c r="F12" s="8">
        <v>3.5156249999999112E-3</v>
      </c>
      <c r="G12" s="1"/>
      <c r="H12" s="1"/>
      <c r="I12" s="14">
        <v>8</v>
      </c>
      <c r="J12" s="3">
        <v>1.1000000000000001</v>
      </c>
      <c r="K12" s="3">
        <v>1.4043640707365856</v>
      </c>
      <c r="L12" s="3">
        <v>1.4011596225699616</v>
      </c>
      <c r="M12" s="16">
        <v>7.2129269094071136E-3</v>
      </c>
      <c r="N12" s="16">
        <v>3.2044481666240188E-3</v>
      </c>
      <c r="O12" s="4"/>
      <c r="P12" s="4"/>
      <c r="Q12" s="15"/>
      <c r="R12" s="6"/>
      <c r="S12" s="6"/>
      <c r="T12" s="6"/>
      <c r="U12" s="16"/>
      <c r="V12" s="16"/>
      <c r="W12" s="4"/>
      <c r="X12" s="4"/>
      <c r="Y12" s="15"/>
      <c r="Z12" s="6"/>
      <c r="AA12" s="6"/>
      <c r="AB12" s="6"/>
      <c r="AC12" s="16"/>
      <c r="AD12" s="16"/>
      <c r="AE12" s="4"/>
      <c r="AF12" s="4"/>
      <c r="AG12" s="15"/>
      <c r="AH12" s="6"/>
      <c r="AI12" s="6"/>
      <c r="AJ12" s="6"/>
      <c r="AK12" s="16"/>
      <c r="AL12" s="16"/>
      <c r="AM12" s="4"/>
    </row>
    <row r="13" spans="1:39" ht="22" customHeight="1">
      <c r="A13" s="14">
        <v>9</v>
      </c>
      <c r="B13" s="3">
        <v>1.3953125000000002</v>
      </c>
      <c r="C13" s="3">
        <v>1.3988281250000001</v>
      </c>
      <c r="D13" s="3">
        <v>1.3970703125000001</v>
      </c>
      <c r="E13" s="8">
        <v>-1.4439907467568291E-3</v>
      </c>
      <c r="F13" s="8">
        <v>1.7578124999999556E-3</v>
      </c>
      <c r="G13" s="1"/>
      <c r="H13" s="1"/>
      <c r="I13" s="14">
        <v>9</v>
      </c>
      <c r="J13" s="3">
        <v>1.1000000000000001</v>
      </c>
      <c r="K13" s="3">
        <v>1.4011596225699616</v>
      </c>
      <c r="L13" s="3">
        <v>1.3995074682508493</v>
      </c>
      <c r="M13" s="16">
        <v>3.7298632175465363E-3</v>
      </c>
      <c r="N13" s="16">
        <v>1.6521543191123644E-3</v>
      </c>
      <c r="O13" s="4"/>
      <c r="P13" s="4"/>
      <c r="Q13" s="15"/>
      <c r="R13" s="6"/>
      <c r="S13" s="6"/>
      <c r="T13" s="6"/>
      <c r="U13" s="16"/>
      <c r="V13" s="16"/>
      <c r="W13" s="4"/>
      <c r="X13" s="4"/>
      <c r="Y13" s="15"/>
      <c r="Z13" s="6"/>
      <c r="AA13" s="6"/>
      <c r="AB13" s="6"/>
      <c r="AC13" s="16"/>
      <c r="AD13" s="16"/>
      <c r="AE13" s="4"/>
      <c r="AF13" s="4"/>
      <c r="AG13" s="15"/>
      <c r="AH13" s="6"/>
      <c r="AI13" s="6"/>
      <c r="AJ13" s="6"/>
      <c r="AK13" s="16"/>
      <c r="AL13" s="16"/>
      <c r="AM13" s="4"/>
    </row>
    <row r="14" spans="1:39" ht="22" customHeight="1">
      <c r="A14" s="14">
        <v>10</v>
      </c>
      <c r="B14" s="3">
        <v>1.3970703125000001</v>
      </c>
      <c r="C14" s="3">
        <v>1.3988281250000001</v>
      </c>
      <c r="D14" s="3">
        <v>1.39794921875</v>
      </c>
      <c r="E14" s="8">
        <v>4.2679550522206622E-4</v>
      </c>
      <c r="F14" s="8">
        <v>8.789062499999778E-4</v>
      </c>
      <c r="G14" s="1"/>
      <c r="H14" s="1"/>
      <c r="I14" s="14">
        <v>10</v>
      </c>
      <c r="J14" s="3">
        <v>1.1000000000000001</v>
      </c>
      <c r="K14" s="3">
        <v>1.3995074682508493</v>
      </c>
      <c r="L14" s="3">
        <v>1.398655555876656</v>
      </c>
      <c r="M14" s="16">
        <v>1.9262092217872118E-3</v>
      </c>
      <c r="N14" s="16">
        <v>8.5191237419324217E-4</v>
      </c>
      <c r="O14" s="4"/>
      <c r="P14" s="4"/>
      <c r="Q14" s="15"/>
      <c r="R14" s="6"/>
      <c r="S14" s="6"/>
      <c r="T14" s="6"/>
      <c r="U14" s="16"/>
      <c r="V14" s="16"/>
      <c r="W14" s="4"/>
      <c r="X14" s="4"/>
      <c r="Y14" s="15"/>
      <c r="Z14" s="6"/>
      <c r="AA14" s="6"/>
      <c r="AB14" s="6"/>
      <c r="AC14" s="16"/>
      <c r="AD14" s="16"/>
      <c r="AE14" s="4"/>
      <c r="AF14" s="4"/>
      <c r="AG14" s="15"/>
      <c r="AH14" s="6"/>
      <c r="AI14" s="6"/>
      <c r="AJ14" s="6"/>
      <c r="AK14" s="16"/>
      <c r="AL14" s="16"/>
      <c r="AM14" s="4"/>
    </row>
    <row r="15" spans="1:39" ht="22" customHeight="1">
      <c r="A15" s="14">
        <v>11</v>
      </c>
      <c r="B15" s="3">
        <v>1.3970703125000001</v>
      </c>
      <c r="C15" s="3">
        <v>1.39794921875</v>
      </c>
      <c r="D15" s="3">
        <v>1.3975097656250002</v>
      </c>
      <c r="E15" s="8">
        <v>-5.0789750779001164E-4</v>
      </c>
      <c r="F15" s="8">
        <v>4.3945312499993339E-4</v>
      </c>
      <c r="G15" s="1"/>
      <c r="H15" s="1"/>
      <c r="I15" s="14">
        <v>11</v>
      </c>
      <c r="J15" s="3">
        <v>1.1000000000000001</v>
      </c>
      <c r="K15" s="3">
        <v>1.398655555876656</v>
      </c>
      <c r="L15" s="3">
        <v>1.3982162508361253</v>
      </c>
      <c r="M15" s="16">
        <v>9.9407553325836506E-4</v>
      </c>
      <c r="N15" s="16">
        <v>4.3930504053069086E-4</v>
      </c>
      <c r="O15" s="4"/>
      <c r="P15" s="4"/>
      <c r="Q15" s="15"/>
      <c r="R15" s="6"/>
      <c r="S15" s="6"/>
      <c r="T15" s="6"/>
      <c r="U15" s="16"/>
      <c r="V15" s="16"/>
      <c r="W15" s="4"/>
      <c r="X15" s="4"/>
      <c r="Y15" s="15"/>
      <c r="Z15" s="6"/>
      <c r="AA15" s="6"/>
      <c r="AB15" s="6"/>
      <c r="AC15" s="16"/>
      <c r="AD15" s="16"/>
      <c r="AE15" s="4"/>
      <c r="AF15" s="4"/>
      <c r="AG15" s="15"/>
      <c r="AH15" s="6"/>
      <c r="AI15" s="6"/>
      <c r="AJ15" s="6"/>
      <c r="AK15" s="16"/>
      <c r="AL15" s="16"/>
      <c r="AM15" s="4"/>
    </row>
    <row r="16" spans="1:39" ht="22" customHeight="1">
      <c r="A16" s="14">
        <v>12</v>
      </c>
      <c r="B16" s="3">
        <v>1.3975097656250002</v>
      </c>
      <c r="C16" s="3">
        <v>1.39794921875</v>
      </c>
      <c r="D16" s="3">
        <v>1.3977294921875001</v>
      </c>
      <c r="E16" s="8">
        <v>-4.0376143913611884E-5</v>
      </c>
      <c r="F16" s="8">
        <v>2.1972656249991118E-4</v>
      </c>
      <c r="G16" s="1"/>
      <c r="H16" s="1"/>
      <c r="I16" s="14">
        <v>12</v>
      </c>
      <c r="J16" s="3">
        <v>1.1000000000000001</v>
      </c>
      <c r="K16" s="3">
        <v>1.3982162508361253</v>
      </c>
      <c r="L16" s="3">
        <v>1.3979897070936267</v>
      </c>
      <c r="M16" s="16">
        <v>5.1284166989895574E-4</v>
      </c>
      <c r="N16" s="16">
        <v>2.2654374249864162E-4</v>
      </c>
      <c r="O16" s="4"/>
      <c r="P16" s="4"/>
      <c r="Q16" s="15"/>
      <c r="R16" s="6"/>
      <c r="S16" s="6"/>
      <c r="T16" s="6"/>
      <c r="U16" s="16"/>
      <c r="V16" s="16"/>
      <c r="W16" s="4"/>
      <c r="X16" s="4"/>
      <c r="Y16" s="15"/>
      <c r="Z16" s="6"/>
      <c r="AA16" s="6"/>
      <c r="AB16" s="6"/>
      <c r="AC16" s="16"/>
      <c r="AD16" s="16"/>
      <c r="AE16" s="4"/>
      <c r="AF16" s="4"/>
      <c r="AG16" s="15"/>
      <c r="AH16" s="6"/>
      <c r="AI16" s="6"/>
      <c r="AJ16" s="6"/>
      <c r="AK16" s="16"/>
      <c r="AL16" s="16"/>
      <c r="AM16" s="4"/>
    </row>
    <row r="17" spans="1:39" ht="22" customHeight="1">
      <c r="A17" s="14">
        <v>13</v>
      </c>
      <c r="B17" s="3">
        <v>1.3977294921875001</v>
      </c>
      <c r="C17" s="3">
        <v>1.39794921875</v>
      </c>
      <c r="D17" s="3">
        <v>1.39783935546875</v>
      </c>
      <c r="E17" s="8">
        <v>1.9325337366815631E-4</v>
      </c>
      <c r="F17" s="8">
        <v>1.0986328124995559E-4</v>
      </c>
      <c r="G17" s="1"/>
      <c r="H17" s="1"/>
      <c r="I17" s="14">
        <v>13</v>
      </c>
      <c r="J17" s="3">
        <v>1.1000000000000001</v>
      </c>
      <c r="K17" s="3">
        <v>1.3979897070936267</v>
      </c>
      <c r="L17" s="3">
        <v>1.3978728794299109</v>
      </c>
      <c r="M17" s="16">
        <v>2.6452627616990743E-4</v>
      </c>
      <c r="N17" s="16">
        <v>1.1682766371579056E-4</v>
      </c>
      <c r="O17" s="4"/>
      <c r="P17" s="4"/>
      <c r="Q17" s="15"/>
      <c r="R17" s="6"/>
      <c r="S17" s="6"/>
      <c r="T17" s="6"/>
      <c r="U17" s="16"/>
      <c r="V17" s="16"/>
      <c r="W17" s="4"/>
      <c r="X17" s="4"/>
      <c r="Y17" s="15"/>
      <c r="Z17" s="6"/>
      <c r="AA17" s="6"/>
      <c r="AB17" s="6"/>
      <c r="AC17" s="16"/>
      <c r="AD17" s="16"/>
      <c r="AE17" s="4"/>
      <c r="AF17" s="4"/>
      <c r="AG17" s="15"/>
      <c r="AH17" s="6"/>
      <c r="AI17" s="6"/>
      <c r="AJ17" s="6"/>
      <c r="AK17" s="16"/>
      <c r="AL17" s="16"/>
      <c r="AM17" s="4"/>
    </row>
    <row r="18" spans="1:39" ht="22" customHeight="1">
      <c r="A18" s="14">
        <v>14</v>
      </c>
      <c r="B18" s="3">
        <v>1.3977294921875001</v>
      </c>
      <c r="C18" s="3">
        <v>1.39783935546875</v>
      </c>
      <c r="D18" s="3">
        <v>1.3977844238281252</v>
      </c>
      <c r="E18" s="8">
        <v>7.6449540795775484E-5</v>
      </c>
      <c r="F18" s="8">
        <v>5.4931640624977796E-5</v>
      </c>
      <c r="G18" s="1"/>
      <c r="H18" s="1"/>
      <c r="I18" s="14">
        <v>14</v>
      </c>
      <c r="J18" s="3">
        <v>1.1000000000000001</v>
      </c>
      <c r="K18" s="3">
        <v>1.3978728794299109</v>
      </c>
      <c r="L18" s="3">
        <v>1.3978126313300097</v>
      </c>
      <c r="M18" s="16">
        <v>1.3643126016849028E-4</v>
      </c>
      <c r="N18" s="16">
        <v>6.0248099901238916E-5</v>
      </c>
      <c r="O18" s="4"/>
      <c r="P18" s="4"/>
      <c r="Q18" s="15"/>
      <c r="R18" s="6"/>
      <c r="S18" s="6"/>
      <c r="T18" s="6"/>
      <c r="U18" s="16"/>
      <c r="V18" s="16"/>
      <c r="W18" s="4"/>
      <c r="X18" s="4"/>
      <c r="Y18" s="15"/>
      <c r="Z18" s="6"/>
      <c r="AA18" s="6"/>
      <c r="AB18" s="6"/>
      <c r="AC18" s="16"/>
      <c r="AD18" s="16"/>
      <c r="AE18" s="4"/>
      <c r="AF18" s="4"/>
      <c r="AG18" s="15"/>
      <c r="AH18" s="6"/>
      <c r="AI18" s="6"/>
      <c r="AJ18" s="6"/>
      <c r="AK18" s="16"/>
      <c r="AL18" s="16"/>
      <c r="AM18" s="4"/>
    </row>
    <row r="19" spans="1:39" ht="22" customHeight="1">
      <c r="A19" s="14">
        <v>15</v>
      </c>
      <c r="B19" s="3">
        <v>1.3977294921875001</v>
      </c>
      <c r="C19" s="3">
        <v>1.3977844238281252</v>
      </c>
      <c r="D19" s="3">
        <v>1.3977569580078126</v>
      </c>
      <c r="E19" s="8">
        <v>1.803943025380228E-5</v>
      </c>
      <c r="F19" s="8">
        <v>2.7465820312544409E-5</v>
      </c>
      <c r="G19" s="1"/>
      <c r="H19" s="1"/>
      <c r="I19" s="14">
        <v>15</v>
      </c>
      <c r="J19" s="3">
        <v>1.1000000000000001</v>
      </c>
      <c r="K19" s="3">
        <v>1.3978126313300097</v>
      </c>
      <c r="L19" s="3">
        <v>1.3977815611967674</v>
      </c>
      <c r="M19" s="16">
        <v>7.036198879206701E-5</v>
      </c>
      <c r="N19" s="16">
        <v>3.1070133242216968E-5</v>
      </c>
      <c r="O19" s="4"/>
      <c r="P19" s="4"/>
      <c r="Q19" s="15"/>
      <c r="R19" s="6"/>
      <c r="S19" s="6"/>
      <c r="T19" s="6"/>
      <c r="U19" s="16"/>
      <c r="V19" s="16"/>
      <c r="W19" s="4"/>
      <c r="X19" s="4"/>
      <c r="Y19" s="15"/>
      <c r="Z19" s="6"/>
      <c r="AA19" s="6"/>
      <c r="AB19" s="6"/>
      <c r="AC19" s="16"/>
      <c r="AD19" s="16"/>
      <c r="AE19" s="4"/>
      <c r="AF19" s="4"/>
      <c r="AG19" s="15"/>
      <c r="AH19" s="6"/>
      <c r="AI19" s="6"/>
      <c r="AJ19" s="6"/>
      <c r="AK19" s="16"/>
      <c r="AL19" s="16"/>
      <c r="AM19" s="4"/>
    </row>
    <row r="20" spans="1:39" ht="22" customHeight="1">
      <c r="A20" s="14">
        <v>16</v>
      </c>
      <c r="B20" s="3">
        <v>1.3977294921875001</v>
      </c>
      <c r="C20" s="3">
        <v>1.3977569580078126</v>
      </c>
      <c r="D20" s="3">
        <v>1.3977432250976563</v>
      </c>
      <c r="E20" s="8">
        <v>-1.1167673835243974E-5</v>
      </c>
      <c r="F20" s="8">
        <v>1.3732910156272204E-5</v>
      </c>
      <c r="G20" s="1"/>
      <c r="H20" s="1"/>
      <c r="I20" s="14">
        <v>16</v>
      </c>
      <c r="J20" s="3">
        <v>1.1000000000000001</v>
      </c>
      <c r="K20" s="3">
        <v>1.3977815611967674</v>
      </c>
      <c r="L20" s="3">
        <v>1.3977655381919829</v>
      </c>
      <c r="M20" s="16">
        <v>3.6287041880855853E-5</v>
      </c>
      <c r="N20" s="16">
        <v>1.6023004784537775E-5</v>
      </c>
      <c r="O20" s="4"/>
      <c r="P20" s="4"/>
      <c r="Q20" s="15"/>
      <c r="R20" s="6"/>
      <c r="S20" s="6"/>
      <c r="T20" s="6"/>
      <c r="U20" s="16"/>
      <c r="V20" s="16"/>
      <c r="W20" s="4"/>
      <c r="X20" s="4"/>
      <c r="Y20" s="15"/>
      <c r="Z20" s="6"/>
      <c r="AA20" s="6"/>
      <c r="AB20" s="6"/>
      <c r="AC20" s="16"/>
      <c r="AD20" s="16"/>
      <c r="AE20" s="4"/>
      <c r="AF20" s="4"/>
      <c r="AG20" s="15"/>
      <c r="AH20" s="6"/>
      <c r="AI20" s="6"/>
      <c r="AJ20" s="6"/>
      <c r="AK20" s="16"/>
      <c r="AL20" s="16"/>
      <c r="AM20" s="4"/>
    </row>
    <row r="21" spans="1:39" ht="22" customHeight="1">
      <c r="A21" s="14">
        <v>17</v>
      </c>
      <c r="B21" s="3">
        <v>1.3977432250976563</v>
      </c>
      <c r="C21" s="3">
        <v>1.3977569580078126</v>
      </c>
      <c r="D21" s="3">
        <v>1.3977500915527346</v>
      </c>
      <c r="E21" s="8">
        <v>3.4360489530316229E-6</v>
      </c>
      <c r="F21" s="8">
        <v>6.8664550781916134E-6</v>
      </c>
      <c r="G21" s="1"/>
      <c r="H21" s="1"/>
      <c r="I21" s="14">
        <v>17</v>
      </c>
      <c r="J21" s="3">
        <v>1.1000000000000001</v>
      </c>
      <c r="K21" s="3">
        <v>1.3977655381919829</v>
      </c>
      <c r="L21" s="3">
        <v>1.3977572750470555</v>
      </c>
      <c r="M21" s="16">
        <v>1.8713692047978014E-5</v>
      </c>
      <c r="N21" s="16">
        <v>8.2631449274117585E-6</v>
      </c>
      <c r="O21" s="4"/>
      <c r="P21" s="4"/>
      <c r="Q21" s="15"/>
      <c r="R21" s="6"/>
      <c r="S21" s="6"/>
      <c r="T21" s="6"/>
      <c r="U21" s="16"/>
      <c r="V21" s="16"/>
      <c r="W21" s="4"/>
      <c r="X21" s="4"/>
      <c r="Y21" s="15"/>
      <c r="Z21" s="6"/>
      <c r="AA21" s="6"/>
      <c r="AB21" s="6"/>
      <c r="AC21" s="16"/>
      <c r="AD21" s="16"/>
      <c r="AE21" s="4"/>
      <c r="AF21" s="4"/>
      <c r="AG21" s="15"/>
      <c r="AH21" s="6"/>
      <c r="AI21" s="6"/>
      <c r="AJ21" s="6"/>
      <c r="AK21" s="16"/>
      <c r="AL21" s="16"/>
      <c r="AM21" s="4"/>
    </row>
    <row r="22" spans="1:39" ht="22" customHeight="1">
      <c r="A22" s="14">
        <v>18</v>
      </c>
      <c r="B22" s="3">
        <v>1.3977432250976563</v>
      </c>
      <c r="C22" s="3">
        <v>1.3977500915527346</v>
      </c>
      <c r="D22" s="3">
        <v>1.3977466583251954</v>
      </c>
      <c r="E22" s="8">
        <v>-3.8657697546407022E-6</v>
      </c>
      <c r="F22" s="8">
        <v>3.4332275391513178E-6</v>
      </c>
      <c r="G22" s="1"/>
      <c r="H22" s="1"/>
      <c r="I22" s="14">
        <v>18</v>
      </c>
      <c r="J22" s="3">
        <v>1.1000000000000001</v>
      </c>
      <c r="K22" s="3">
        <v>1.3977572750470555</v>
      </c>
      <c r="L22" s="3">
        <v>1.397753013698418</v>
      </c>
      <c r="M22" s="16">
        <v>9.6508269932238377E-6</v>
      </c>
      <c r="N22" s="16">
        <v>4.2613486375131515E-6</v>
      </c>
      <c r="O22" s="4"/>
      <c r="P22" s="4"/>
      <c r="Q22" s="15"/>
      <c r="R22" s="6"/>
      <c r="S22" s="6"/>
      <c r="T22" s="6"/>
      <c r="U22" s="16"/>
      <c r="V22" s="16"/>
      <c r="W22" s="4"/>
      <c r="X22" s="4"/>
      <c r="Y22" s="15"/>
      <c r="Z22" s="6"/>
      <c r="AA22" s="6"/>
      <c r="AB22" s="6"/>
      <c r="AC22" s="16"/>
      <c r="AD22" s="16"/>
      <c r="AE22" s="4"/>
      <c r="AF22" s="4"/>
      <c r="AG22" s="15"/>
      <c r="AH22" s="6"/>
      <c r="AI22" s="6"/>
      <c r="AJ22" s="6"/>
      <c r="AK22" s="16"/>
      <c r="AL22" s="16"/>
      <c r="AM22" s="4"/>
    </row>
    <row r="23" spans="1:39" ht="22" customHeight="1">
      <c r="A23" s="14">
        <v>19</v>
      </c>
      <c r="B23" s="3">
        <v>1.3977466583251954</v>
      </c>
      <c r="C23" s="3">
        <v>1.3977500915527346</v>
      </c>
      <c r="D23" s="3">
        <v>1.397748374938965</v>
      </c>
      <c r="E23" s="8">
        <v>-2.1484972922980461E-7</v>
      </c>
      <c r="F23" s="8">
        <v>1.7166137695756589E-6</v>
      </c>
      <c r="G23" s="1"/>
      <c r="H23" s="1"/>
      <c r="I23" s="14">
        <v>19</v>
      </c>
      <c r="J23" s="3">
        <v>1.1000000000000001</v>
      </c>
      <c r="K23" s="3">
        <v>1.397753013698418</v>
      </c>
      <c r="L23" s="3">
        <v>1.3977508160970671</v>
      </c>
      <c r="M23" s="16">
        <v>4.9770053407449666E-6</v>
      </c>
      <c r="N23" s="16">
        <v>2.1976013508950842E-6</v>
      </c>
      <c r="O23" s="4"/>
      <c r="P23" s="4"/>
      <c r="Q23" s="15"/>
      <c r="R23" s="6"/>
      <c r="S23" s="6"/>
      <c r="T23" s="6"/>
      <c r="U23" s="16"/>
      <c r="V23" s="16"/>
      <c r="W23" s="4"/>
      <c r="X23" s="4"/>
      <c r="Y23" s="15"/>
      <c r="Z23" s="6"/>
      <c r="AA23" s="6"/>
      <c r="AB23" s="6"/>
      <c r="AC23" s="16"/>
      <c r="AD23" s="16"/>
      <c r="AE23" s="4"/>
      <c r="AF23" s="4"/>
      <c r="AG23" s="15"/>
      <c r="AH23" s="6"/>
      <c r="AI23" s="6"/>
      <c r="AJ23" s="6"/>
      <c r="AK23" s="16"/>
      <c r="AL23" s="16"/>
      <c r="AM23" s="4"/>
    </row>
    <row r="24" spans="1:39" ht="22" customHeight="1">
      <c r="A24" s="14">
        <v>20</v>
      </c>
      <c r="B24" s="3">
        <v>1.397748374938965</v>
      </c>
      <c r="C24" s="3">
        <v>1.3977500915527346</v>
      </c>
      <c r="D24" s="3">
        <v>1.3977492332458499</v>
      </c>
      <c r="E24" s="8">
        <v>1.6106022799888819E-6</v>
      </c>
      <c r="F24" s="8">
        <v>8.5830688478782946E-7</v>
      </c>
      <c r="G24" s="1"/>
      <c r="H24" s="1"/>
      <c r="I24" s="14">
        <v>20</v>
      </c>
      <c r="J24" s="3">
        <v>1.1000000000000001</v>
      </c>
      <c r="K24" s="3">
        <v>1.3977508160970671</v>
      </c>
      <c r="L24" s="3">
        <v>1.3977496827815452</v>
      </c>
      <c r="M24" s="16">
        <v>2.5666752478947785E-6</v>
      </c>
      <c r="N24" s="16">
        <v>1.1333155218729019E-6</v>
      </c>
      <c r="O24" s="4"/>
      <c r="P24" s="4"/>
      <c r="Q24" s="15"/>
      <c r="R24" s="6"/>
      <c r="S24" s="6"/>
      <c r="T24" s="6"/>
      <c r="U24" s="16"/>
      <c r="V24" s="16"/>
      <c r="W24" s="4"/>
      <c r="X24" s="4"/>
      <c r="Y24" s="15"/>
      <c r="Z24" s="6"/>
      <c r="AA24" s="6"/>
      <c r="AB24" s="6"/>
      <c r="AC24" s="16"/>
      <c r="AD24" s="16"/>
      <c r="AE24" s="4"/>
      <c r="AF24" s="4"/>
      <c r="AG24" s="15"/>
      <c r="AH24" s="6"/>
      <c r="AI24" s="6"/>
      <c r="AJ24" s="6"/>
      <c r="AK24" s="16"/>
      <c r="AL24" s="16"/>
      <c r="AM24" s="4"/>
    </row>
    <row r="25" spans="1:39" ht="22" customHeight="1">
      <c r="A25" s="14">
        <v>21</v>
      </c>
      <c r="B25" s="3">
        <v>1.397748374938965</v>
      </c>
      <c r="C25" s="3">
        <v>1.3977492332458499</v>
      </c>
      <c r="D25" s="3">
        <v>1.3977488040924073</v>
      </c>
      <c r="E25" s="8">
        <v>6.9787694212397611E-7</v>
      </c>
      <c r="F25" s="8">
        <v>4.2915344244942588E-7</v>
      </c>
      <c r="G25" s="1"/>
      <c r="H25" s="1"/>
      <c r="I25" s="14">
        <v>21</v>
      </c>
      <c r="J25" s="3">
        <v>1.1000000000000001</v>
      </c>
      <c r="K25" s="3">
        <v>1.3977496827815452</v>
      </c>
      <c r="L25" s="3">
        <v>1.3977490983242282</v>
      </c>
      <c r="M25" s="16">
        <v>1.3236505540525911E-6</v>
      </c>
      <c r="N25" s="16">
        <v>5.8445731698775205E-7</v>
      </c>
      <c r="O25" s="4"/>
      <c r="P25" s="4"/>
      <c r="Q25" s="15"/>
      <c r="R25" s="6"/>
      <c r="S25" s="6"/>
      <c r="T25" s="6"/>
      <c r="U25" s="16"/>
      <c r="V25" s="16"/>
      <c r="W25" s="4"/>
      <c r="X25" s="4"/>
      <c r="Y25" s="15"/>
      <c r="Z25" s="6"/>
      <c r="AA25" s="6"/>
      <c r="AB25" s="6"/>
      <c r="AC25" s="16"/>
      <c r="AD25" s="16"/>
      <c r="AE25" s="4"/>
      <c r="AF25" s="4"/>
      <c r="AG25" s="15"/>
      <c r="AH25" s="6"/>
      <c r="AI25" s="6"/>
      <c r="AJ25" s="6"/>
      <c r="AK25" s="16"/>
      <c r="AL25" s="16"/>
      <c r="AM25" s="4"/>
    </row>
    <row r="26" spans="1:39" ht="22" customHeight="1">
      <c r="A26" s="14">
        <v>22</v>
      </c>
      <c r="B26" s="3">
        <v>1.397748374938965</v>
      </c>
      <c r="C26" s="3">
        <v>1.3977488040924073</v>
      </c>
      <c r="D26" s="3">
        <v>1.397748589515686</v>
      </c>
      <c r="E26" s="8">
        <v>2.4151377286951714E-7</v>
      </c>
      <c r="F26" s="8">
        <v>2.1457672116920179E-7</v>
      </c>
      <c r="G26" s="1"/>
      <c r="H26" s="1"/>
      <c r="I26" s="14">
        <v>22</v>
      </c>
      <c r="J26" s="3">
        <v>1.1000000000000001</v>
      </c>
      <c r="K26" s="3">
        <v>1.3977490983242282</v>
      </c>
      <c r="L26" s="3">
        <v>1.3977487969162223</v>
      </c>
      <c r="M26" s="16">
        <v>6.8261459051921491E-7</v>
      </c>
      <c r="N26" s="16">
        <v>3.0140800588718264E-7</v>
      </c>
      <c r="O26" s="4"/>
      <c r="P26" s="4"/>
      <c r="Q26" s="15"/>
      <c r="R26" s="6"/>
      <c r="S26" s="6"/>
      <c r="T26" s="6"/>
      <c r="U26" s="16"/>
      <c r="V26" s="16"/>
      <c r="W26" s="4"/>
      <c r="X26" s="4"/>
      <c r="Y26" s="15"/>
      <c r="Z26" s="6"/>
      <c r="AA26" s="6"/>
      <c r="AB26" s="6"/>
      <c r="AC26" s="16"/>
      <c r="AD26" s="16"/>
      <c r="AE26" s="4"/>
      <c r="AF26" s="4"/>
      <c r="AG26" s="15"/>
      <c r="AH26" s="6"/>
      <c r="AI26" s="6"/>
      <c r="AJ26" s="6"/>
      <c r="AK26" s="16"/>
      <c r="AL26" s="16"/>
      <c r="AM26" s="4"/>
    </row>
    <row r="27" spans="1:39" ht="22" customHeight="1">
      <c r="A27" s="14">
        <v>23</v>
      </c>
      <c r="B27" s="3">
        <v>1.397748374938965</v>
      </c>
      <c r="C27" s="3">
        <v>1.397748589515686</v>
      </c>
      <c r="D27" s="3">
        <v>1.3977484822273256</v>
      </c>
      <c r="E27" s="8">
        <v>1.3332063675264294E-8</v>
      </c>
      <c r="F27" s="8">
        <v>1.0728836052908974E-7</v>
      </c>
      <c r="G27" s="1"/>
      <c r="H27" s="1"/>
      <c r="I27" s="14">
        <v>23</v>
      </c>
      <c r="J27" s="3">
        <v>1.1000000000000001</v>
      </c>
      <c r="K27" s="3">
        <v>1.3977487969162223</v>
      </c>
      <c r="L27" s="3">
        <v>1.3977486414783731</v>
      </c>
      <c r="M27" s="16">
        <v>3.5202838499781564E-7</v>
      </c>
      <c r="N27" s="16">
        <v>1.5543784925853288E-7</v>
      </c>
      <c r="O27" s="4"/>
      <c r="P27" s="4"/>
      <c r="Q27" s="15"/>
      <c r="R27" s="6"/>
      <c r="S27" s="6"/>
      <c r="T27" s="6"/>
      <c r="U27" s="16"/>
      <c r="V27" s="16"/>
      <c r="W27" s="4"/>
      <c r="X27" s="4"/>
      <c r="Y27" s="15"/>
      <c r="Z27" s="6"/>
      <c r="AA27" s="6"/>
      <c r="AB27" s="6"/>
      <c r="AC27" s="16"/>
      <c r="AD27" s="16"/>
      <c r="AE27" s="4"/>
      <c r="AF27" s="4"/>
      <c r="AG27" s="15"/>
      <c r="AH27" s="6"/>
      <c r="AI27" s="6"/>
      <c r="AJ27" s="6"/>
      <c r="AK27" s="16"/>
      <c r="AL27" s="16"/>
      <c r="AM27" s="4"/>
    </row>
    <row r="28" spans="1:39" ht="22" customHeight="1">
      <c r="A28" s="14">
        <v>24</v>
      </c>
      <c r="B28" s="3">
        <v>1.397748374938965</v>
      </c>
      <c r="C28" s="3">
        <v>1.3977484822273256</v>
      </c>
      <c r="D28" s="3">
        <v>1.3977484285831454</v>
      </c>
      <c r="E28" s="8">
        <v>-1.0075882206361797E-7</v>
      </c>
      <c r="F28" s="8">
        <v>5.3644180320056023E-8</v>
      </c>
      <c r="G28" s="1"/>
      <c r="H28" s="1"/>
      <c r="I28" s="14">
        <v>24</v>
      </c>
      <c r="J28" s="3">
        <v>1.1000000000000001</v>
      </c>
      <c r="K28" s="3">
        <v>1.3977486414783731</v>
      </c>
      <c r="L28" s="3">
        <v>1.3977485613181757</v>
      </c>
      <c r="M28" s="16">
        <v>1.8154309944229396E-7</v>
      </c>
      <c r="N28" s="16">
        <v>8.016019736878377E-8</v>
      </c>
      <c r="O28" s="4"/>
      <c r="P28" s="4"/>
      <c r="Q28" s="15"/>
      <c r="R28" s="6"/>
      <c r="S28" s="6"/>
      <c r="T28" s="6"/>
      <c r="U28" s="16"/>
      <c r="V28" s="16"/>
      <c r="W28" s="4"/>
      <c r="X28" s="4"/>
      <c r="Y28" s="15"/>
      <c r="Z28" s="6"/>
      <c r="AA28" s="6"/>
      <c r="AB28" s="6"/>
      <c r="AC28" s="16"/>
      <c r="AD28" s="16"/>
      <c r="AE28" s="4"/>
      <c r="AF28" s="4"/>
      <c r="AG28" s="15"/>
      <c r="AH28" s="6"/>
      <c r="AI28" s="6"/>
      <c r="AJ28" s="6"/>
      <c r="AK28" s="16"/>
      <c r="AL28" s="16"/>
      <c r="AM28" s="4"/>
    </row>
    <row r="29" spans="1:39" ht="22" customHeight="1">
      <c r="A29" s="14">
        <v>25</v>
      </c>
      <c r="B29" s="3">
        <v>1.3977484285831454</v>
      </c>
      <c r="C29" s="3">
        <v>1.3977484822273256</v>
      </c>
      <c r="D29" s="3">
        <v>1.3977484554052355</v>
      </c>
      <c r="E29" s="8">
        <v>-4.3713376474130428E-8</v>
      </c>
      <c r="F29" s="8">
        <v>2.682209010451686E-8</v>
      </c>
      <c r="G29" s="1"/>
      <c r="H29" s="1"/>
      <c r="I29" s="14">
        <v>25</v>
      </c>
      <c r="J29" s="3">
        <v>1.1000000000000001</v>
      </c>
      <c r="K29" s="3">
        <v>1.3977485613181757</v>
      </c>
      <c r="L29" s="3">
        <v>1.3977485199790984</v>
      </c>
      <c r="M29" s="16">
        <v>9.3622833707840414E-8</v>
      </c>
      <c r="N29" s="16">
        <v>4.1339077272439795E-8</v>
      </c>
      <c r="O29" s="4"/>
      <c r="P29" s="4"/>
      <c r="Q29" s="15"/>
      <c r="R29" s="6"/>
      <c r="S29" s="6"/>
      <c r="T29" s="6"/>
      <c r="U29" s="16"/>
      <c r="V29" s="16"/>
      <c r="W29" s="4"/>
      <c r="X29" s="4"/>
      <c r="Y29" s="15"/>
      <c r="Z29" s="6"/>
      <c r="AA29" s="6"/>
      <c r="AB29" s="6"/>
      <c r="AC29" s="16"/>
      <c r="AD29" s="16"/>
      <c r="AE29" s="4"/>
      <c r="AF29" s="4"/>
      <c r="AG29" s="15"/>
      <c r="AH29" s="6"/>
      <c r="AI29" s="6"/>
      <c r="AJ29" s="6"/>
      <c r="AK29" s="16"/>
      <c r="AL29" s="16"/>
      <c r="AM29" s="4"/>
    </row>
    <row r="30" spans="1:39" ht="22" customHeight="1">
      <c r="A30" s="14">
        <v>26</v>
      </c>
      <c r="B30" s="3">
        <v>1.3977484554052355</v>
      </c>
      <c r="C30" s="3">
        <v>1.3977484822273256</v>
      </c>
      <c r="D30" s="3">
        <v>1.3977484688162805</v>
      </c>
      <c r="E30" s="8">
        <v>-1.5190655955343857E-8</v>
      </c>
      <c r="F30" s="8">
        <v>1.341104505225843E-8</v>
      </c>
      <c r="G30" s="1"/>
      <c r="H30" s="1"/>
      <c r="I30" s="14">
        <v>26</v>
      </c>
      <c r="J30" s="3">
        <v>1.1000000000000001</v>
      </c>
      <c r="K30" s="3">
        <v>1.3977485199790984</v>
      </c>
      <c r="L30" s="3">
        <v>1.397748498660297</v>
      </c>
      <c r="M30" s="16">
        <v>4.8281839082342515E-8</v>
      </c>
      <c r="N30" s="16">
        <v>2.1318801390890485E-8</v>
      </c>
      <c r="O30" s="4"/>
      <c r="P30" s="4"/>
      <c r="Q30" s="15"/>
      <c r="R30" s="6"/>
      <c r="S30" s="6"/>
      <c r="T30" s="6"/>
      <c r="U30" s="16"/>
      <c r="V30" s="16"/>
      <c r="W30" s="4"/>
      <c r="X30" s="4"/>
      <c r="Y30" s="15"/>
      <c r="Z30" s="6"/>
      <c r="AA30" s="6"/>
      <c r="AB30" s="6"/>
      <c r="AC30" s="16"/>
      <c r="AD30" s="16"/>
      <c r="AE30" s="4"/>
      <c r="AF30" s="4"/>
      <c r="AG30" s="15"/>
      <c r="AH30" s="6"/>
      <c r="AI30" s="6"/>
      <c r="AJ30" s="6"/>
      <c r="AK30" s="16"/>
      <c r="AL30" s="16"/>
      <c r="AM30" s="4"/>
    </row>
    <row r="31" spans="1:39" ht="22" customHeight="1">
      <c r="A31" s="14">
        <v>27</v>
      </c>
      <c r="B31" s="3">
        <v>1.3977484688162805</v>
      </c>
      <c r="C31" s="3">
        <v>1.3977484822273256</v>
      </c>
      <c r="D31" s="3">
        <v>1.397748475521803</v>
      </c>
      <c r="E31" s="8">
        <v>-9.2929586248402529E-10</v>
      </c>
      <c r="F31" s="8">
        <v>6.7055225816403663E-9</v>
      </c>
      <c r="G31" s="1" t="s">
        <v>118</v>
      </c>
      <c r="H31" s="1"/>
      <c r="I31" s="14">
        <v>27</v>
      </c>
      <c r="J31" s="3">
        <v>1.1000000000000001</v>
      </c>
      <c r="K31" s="3">
        <v>1.397748498660297</v>
      </c>
      <c r="L31" s="3">
        <v>1.3977484876660677</v>
      </c>
      <c r="M31" s="16">
        <v>2.4899224349006488E-8</v>
      </c>
      <c r="N31" s="16">
        <v>1.0994229304728265E-8</v>
      </c>
      <c r="O31" s="4"/>
      <c r="P31" s="4"/>
      <c r="Q31" s="15"/>
      <c r="R31" s="6"/>
      <c r="S31" s="6"/>
      <c r="T31" s="6"/>
      <c r="U31" s="16"/>
      <c r="V31" s="16"/>
      <c r="W31" s="4"/>
      <c r="X31" s="4"/>
      <c r="Y31" s="15"/>
      <c r="Z31" s="6"/>
      <c r="AA31" s="6"/>
      <c r="AB31" s="6"/>
      <c r="AC31" s="16"/>
      <c r="AD31" s="16"/>
      <c r="AE31" s="4"/>
      <c r="AF31" s="4"/>
      <c r="AG31" s="15"/>
      <c r="AH31" s="6"/>
      <c r="AI31" s="6"/>
      <c r="AJ31" s="6"/>
      <c r="AK31" s="16"/>
      <c r="AL31" s="16"/>
      <c r="AM31" s="4"/>
    </row>
    <row r="32" spans="1:39" ht="22" customHeight="1">
      <c r="A32" s="14"/>
      <c r="B32" s="3"/>
      <c r="C32" s="3"/>
      <c r="D32" s="3"/>
      <c r="E32" s="8"/>
      <c r="F32" s="8"/>
      <c r="G32" s="1"/>
      <c r="H32" s="1"/>
      <c r="I32" s="14">
        <v>28</v>
      </c>
      <c r="J32" s="3">
        <v>1.1000000000000001</v>
      </c>
      <c r="K32" s="3">
        <v>1.3977484876660677</v>
      </c>
      <c r="L32" s="3">
        <v>1.39774848199628</v>
      </c>
      <c r="M32" s="16">
        <v>1.2840674079583891E-8</v>
      </c>
      <c r="N32" s="16">
        <v>5.6697877504063854E-9</v>
      </c>
      <c r="O32" s="4"/>
      <c r="P32" s="4"/>
      <c r="Q32" s="15"/>
      <c r="R32" s="6"/>
      <c r="S32" s="6"/>
      <c r="T32" s="6"/>
      <c r="U32" s="16"/>
      <c r="V32" s="16"/>
      <c r="W32" s="4"/>
      <c r="X32" s="4"/>
      <c r="Y32" s="15"/>
      <c r="Z32" s="6"/>
      <c r="AA32" s="6"/>
      <c r="AB32" s="6"/>
      <c r="AC32" s="16"/>
      <c r="AD32" s="16"/>
      <c r="AE32" s="4"/>
      <c r="AF32" s="4"/>
      <c r="AG32" s="15"/>
      <c r="AH32" s="6"/>
      <c r="AI32" s="6"/>
      <c r="AJ32" s="6"/>
      <c r="AK32" s="16"/>
      <c r="AL32" s="16"/>
      <c r="AM32" s="4"/>
    </row>
    <row r="33" spans="1:39" ht="22" customHeight="1">
      <c r="A33" s="14"/>
      <c r="B33" s="3"/>
      <c r="C33" s="3"/>
      <c r="D33" s="3"/>
      <c r="E33" s="8"/>
      <c r="F33" s="8"/>
      <c r="G33" s="1"/>
      <c r="H33" s="1"/>
      <c r="I33" s="14">
        <v>29</v>
      </c>
      <c r="J33" s="3">
        <v>1.1000000000000001</v>
      </c>
      <c r="K33" s="3">
        <v>1.39774848199628</v>
      </c>
      <c r="L33" s="3">
        <v>1.3977484790723378</v>
      </c>
      <c r="M33" s="16">
        <v>6.62201016243813E-9</v>
      </c>
      <c r="N33" s="16">
        <v>2.9239421994731174E-9</v>
      </c>
      <c r="O33" s="4" t="s">
        <v>118</v>
      </c>
      <c r="P33" s="4"/>
      <c r="Q33" s="15"/>
      <c r="R33" s="6"/>
      <c r="S33" s="6"/>
      <c r="T33" s="6"/>
      <c r="U33" s="16"/>
      <c r="V33" s="16"/>
      <c r="W33" s="4"/>
      <c r="X33" s="4"/>
      <c r="Y33" s="15"/>
      <c r="Z33" s="6"/>
      <c r="AA33" s="6"/>
      <c r="AB33" s="6"/>
      <c r="AC33" s="16"/>
      <c r="AD33" s="16"/>
      <c r="AE33" s="4"/>
      <c r="AF33" s="4"/>
      <c r="AG33" s="15"/>
      <c r="AH33" s="6"/>
      <c r="AI33" s="6"/>
      <c r="AJ33" s="6"/>
      <c r="AK33" s="16"/>
      <c r="AL33" s="16"/>
      <c r="AM33" s="4"/>
    </row>
    <row r="34" spans="1:39" ht="22" customHeight="1">
      <c r="A34" s="14"/>
      <c r="B34" s="3"/>
      <c r="C34" s="3"/>
      <c r="D34" s="3"/>
      <c r="E34" s="8"/>
      <c r="F34" s="8"/>
      <c r="G34" s="1"/>
      <c r="H34" s="1"/>
      <c r="I34" s="14"/>
      <c r="J34" s="3"/>
      <c r="K34" s="3"/>
      <c r="L34" s="3"/>
      <c r="M34" s="16"/>
      <c r="N34" s="16"/>
      <c r="O34" s="4"/>
      <c r="P34" s="4"/>
      <c r="Q34" s="15"/>
      <c r="R34" s="6"/>
      <c r="S34" s="6"/>
      <c r="T34" s="6"/>
      <c r="U34" s="16"/>
      <c r="V34" s="16"/>
      <c r="W34" s="4"/>
      <c r="X34" s="4"/>
      <c r="Y34" s="15"/>
      <c r="Z34" s="6"/>
      <c r="AA34" s="6"/>
      <c r="AB34" s="6"/>
      <c r="AC34" s="16"/>
      <c r="AD34" s="16"/>
      <c r="AE34" s="4"/>
      <c r="AF34" s="4"/>
      <c r="AG34" s="15"/>
      <c r="AH34" s="6"/>
      <c r="AI34" s="6"/>
      <c r="AJ34" s="6"/>
      <c r="AK34" s="16"/>
      <c r="AL34" s="16"/>
      <c r="AM34" s="4"/>
    </row>
    <row r="35" spans="1:39" ht="22" customHeight="1">
      <c r="A35" s="14"/>
      <c r="B35" s="3"/>
      <c r="C35" s="3"/>
      <c r="D35" s="3"/>
      <c r="E35" s="8"/>
      <c r="F35" s="8"/>
      <c r="G35" s="1"/>
      <c r="H35" s="1"/>
      <c r="I35" s="14"/>
      <c r="J35" s="3"/>
      <c r="K35" s="3"/>
      <c r="L35" s="3"/>
      <c r="M35" s="16"/>
      <c r="N35" s="16"/>
      <c r="O35" s="4"/>
      <c r="P35" s="4"/>
      <c r="Q35" s="15"/>
      <c r="R35" s="6"/>
      <c r="S35" s="6"/>
      <c r="T35" s="6"/>
      <c r="U35" s="16"/>
      <c r="V35" s="16"/>
      <c r="W35" s="4"/>
      <c r="X35" s="4"/>
      <c r="Y35" s="15"/>
      <c r="Z35" s="6"/>
      <c r="AA35" s="6"/>
      <c r="AB35" s="6"/>
      <c r="AC35" s="16"/>
      <c r="AD35" s="16"/>
      <c r="AE35" s="4"/>
      <c r="AF35" s="4"/>
      <c r="AG35" s="15"/>
      <c r="AH35" s="6"/>
      <c r="AI35" s="6"/>
      <c r="AJ35" s="6"/>
      <c r="AK35" s="16"/>
      <c r="AL35" s="16"/>
      <c r="AM35" s="4"/>
    </row>
    <row r="36" spans="1:39" ht="22" customHeight="1">
      <c r="A36" s="14"/>
      <c r="B36" s="3"/>
      <c r="C36" s="3"/>
      <c r="D36" s="3"/>
      <c r="E36" s="8"/>
      <c r="F36" s="8"/>
      <c r="G36" s="1"/>
      <c r="H36" s="1"/>
      <c r="I36" s="14"/>
      <c r="J36" s="3"/>
      <c r="K36" s="3"/>
      <c r="L36" s="3"/>
      <c r="M36" s="16"/>
      <c r="N36" s="16"/>
      <c r="O36" s="4"/>
      <c r="P36" s="4"/>
      <c r="Q36" s="15"/>
      <c r="R36" s="6"/>
      <c r="S36" s="6"/>
      <c r="T36" s="6"/>
      <c r="U36" s="16"/>
      <c r="V36" s="16"/>
      <c r="W36" s="4"/>
      <c r="X36" s="4"/>
      <c r="Y36" s="15"/>
      <c r="Z36" s="6"/>
      <c r="AA36" s="6"/>
      <c r="AB36" s="6"/>
      <c r="AC36" s="16"/>
      <c r="AD36" s="16"/>
      <c r="AE36" s="4"/>
      <c r="AF36" s="4"/>
      <c r="AG36" s="15"/>
      <c r="AH36" s="6"/>
      <c r="AI36" s="6"/>
      <c r="AJ36" s="6"/>
      <c r="AK36" s="16"/>
      <c r="AL36" s="16"/>
      <c r="AM36" s="4"/>
    </row>
    <row r="37" spans="1:39" ht="22" customHeight="1">
      <c r="A37" s="14"/>
      <c r="B37" s="3"/>
      <c r="C37" s="3"/>
      <c r="D37" s="3"/>
      <c r="E37" s="8"/>
      <c r="F37" s="8"/>
      <c r="G37" s="1"/>
      <c r="H37" s="1"/>
      <c r="I37" s="14"/>
      <c r="J37" s="3"/>
      <c r="K37" s="3"/>
      <c r="L37" s="3"/>
      <c r="M37" s="16"/>
      <c r="N37" s="16"/>
      <c r="O37" s="4"/>
      <c r="P37" s="4"/>
      <c r="Q37" s="15"/>
      <c r="R37" s="6"/>
      <c r="S37" s="6"/>
      <c r="T37" s="6"/>
      <c r="U37" s="16"/>
      <c r="V37" s="16"/>
      <c r="W37" s="4"/>
      <c r="X37" s="4"/>
      <c r="Y37" s="15"/>
      <c r="Z37" s="6"/>
      <c r="AA37" s="6"/>
      <c r="AB37" s="6"/>
      <c r="AC37" s="16"/>
      <c r="AD37" s="16"/>
      <c r="AE37" s="4"/>
      <c r="AF37" s="4"/>
      <c r="AG37" s="15"/>
      <c r="AH37" s="6"/>
      <c r="AI37" s="6"/>
      <c r="AJ37" s="6"/>
      <c r="AK37" s="16"/>
      <c r="AL37" s="16"/>
      <c r="AM37" s="4"/>
    </row>
    <row r="38" spans="1:39" ht="22" customHeight="1">
      <c r="A38" s="14"/>
      <c r="B38" s="3"/>
      <c r="C38" s="3"/>
      <c r="D38" s="3"/>
      <c r="E38" s="8"/>
      <c r="F38" s="8"/>
      <c r="G38" s="1"/>
      <c r="H38" s="1"/>
      <c r="I38" s="14"/>
      <c r="J38" s="3"/>
      <c r="K38" s="3"/>
      <c r="L38" s="3"/>
      <c r="M38" s="16"/>
      <c r="N38" s="16"/>
      <c r="O38" s="4"/>
      <c r="P38" s="4"/>
      <c r="Q38" s="15"/>
      <c r="R38" s="6"/>
      <c r="S38" s="6"/>
      <c r="T38" s="6"/>
      <c r="U38" s="16"/>
      <c r="V38" s="16"/>
      <c r="W38" s="4"/>
      <c r="X38" s="4"/>
      <c r="Y38" s="15"/>
      <c r="Z38" s="6"/>
      <c r="AA38" s="6"/>
      <c r="AB38" s="6"/>
      <c r="AC38" s="16"/>
      <c r="AD38" s="16"/>
      <c r="AE38" s="4"/>
      <c r="AF38" s="4"/>
      <c r="AG38" s="15"/>
      <c r="AH38" s="6"/>
      <c r="AI38" s="6"/>
      <c r="AJ38" s="6"/>
      <c r="AK38" s="16"/>
      <c r="AL38" s="16"/>
      <c r="AM38" s="4"/>
    </row>
    <row r="39" spans="1:39" ht="22" customHeight="1">
      <c r="A39" s="14"/>
      <c r="B39" s="3"/>
      <c r="C39" s="3"/>
      <c r="D39" s="3"/>
      <c r="E39" s="8"/>
      <c r="F39" s="8"/>
      <c r="G39" s="1"/>
      <c r="H39" s="1"/>
      <c r="I39" s="14"/>
      <c r="J39" s="3"/>
      <c r="K39" s="3"/>
      <c r="L39" s="3"/>
      <c r="M39" s="16"/>
      <c r="N39" s="16"/>
      <c r="O39" s="4"/>
      <c r="P39" s="4"/>
      <c r="Q39" s="15"/>
      <c r="R39" s="6"/>
      <c r="S39" s="6"/>
      <c r="T39" s="6"/>
      <c r="U39" s="16"/>
      <c r="V39" s="16"/>
      <c r="W39" s="4"/>
      <c r="X39" s="4"/>
      <c r="Y39" s="15"/>
      <c r="Z39" s="6"/>
      <c r="AA39" s="6"/>
      <c r="AB39" s="6"/>
      <c r="AC39" s="16"/>
      <c r="AD39" s="16"/>
      <c r="AE39" s="4"/>
      <c r="AF39" s="4"/>
      <c r="AG39" s="15"/>
      <c r="AH39" s="6"/>
      <c r="AI39" s="6"/>
      <c r="AJ39" s="6"/>
      <c r="AK39" s="16"/>
      <c r="AL39" s="16"/>
      <c r="AM39" s="4"/>
    </row>
    <row r="40" spans="1:39" ht="22" customHeight="1">
      <c r="A40" s="14"/>
      <c r="B40" s="3"/>
      <c r="C40" s="3"/>
      <c r="D40" s="3"/>
      <c r="E40" s="8"/>
      <c r="F40" s="8"/>
      <c r="G40" s="1"/>
      <c r="H40" s="1"/>
      <c r="I40" s="14"/>
      <c r="J40" s="3"/>
      <c r="K40" s="3"/>
      <c r="L40" s="3"/>
      <c r="M40" s="16"/>
      <c r="N40" s="16"/>
      <c r="O40" s="4"/>
      <c r="P40" s="4"/>
      <c r="Q40" s="15"/>
      <c r="R40" s="6"/>
      <c r="S40" s="6"/>
      <c r="T40" s="6"/>
      <c r="U40" s="16"/>
      <c r="V40" s="16"/>
      <c r="W40" s="4"/>
      <c r="X40" s="4"/>
      <c r="Y40" s="15"/>
      <c r="Z40" s="6"/>
      <c r="AA40" s="6"/>
      <c r="AB40" s="6"/>
      <c r="AC40" s="16"/>
      <c r="AD40" s="16"/>
      <c r="AE40" s="4"/>
      <c r="AF40" s="4"/>
      <c r="AG40" s="15"/>
      <c r="AH40" s="6"/>
      <c r="AI40" s="6"/>
      <c r="AJ40" s="6"/>
      <c r="AK40" s="16"/>
      <c r="AL40" s="16"/>
      <c r="AM40" s="4"/>
    </row>
    <row r="41" spans="1:39" ht="22" customHeight="1">
      <c r="A41" s="14"/>
      <c r="B41" s="3"/>
      <c r="C41" s="3"/>
      <c r="D41" s="3"/>
      <c r="E41" s="8"/>
      <c r="F41" s="8"/>
      <c r="G41" s="1"/>
      <c r="H41" s="1"/>
      <c r="I41" s="14"/>
      <c r="J41" s="3"/>
      <c r="K41" s="3"/>
      <c r="L41" s="3"/>
      <c r="M41" s="16"/>
      <c r="N41" s="16"/>
      <c r="O41" s="4"/>
      <c r="P41" s="4"/>
      <c r="Q41" s="15"/>
      <c r="R41" s="6"/>
      <c r="S41" s="6"/>
      <c r="T41" s="6"/>
      <c r="U41" s="16"/>
      <c r="V41" s="16"/>
      <c r="W41" s="4"/>
      <c r="X41" s="4"/>
      <c r="Y41" s="15"/>
      <c r="Z41" s="6"/>
      <c r="AA41" s="6"/>
      <c r="AB41" s="6"/>
      <c r="AC41" s="16"/>
      <c r="AD41" s="16"/>
      <c r="AE41" s="4"/>
      <c r="AF41" s="4"/>
      <c r="AG41" s="15"/>
      <c r="AH41" s="6"/>
      <c r="AI41" s="6"/>
      <c r="AJ41" s="6"/>
      <c r="AK41" s="16"/>
      <c r="AL41" s="16"/>
      <c r="AM41" s="4"/>
    </row>
    <row r="42" spans="1:39" ht="22" customHeight="1">
      <c r="A42" s="14"/>
      <c r="B42" s="3"/>
      <c r="C42" s="3"/>
      <c r="D42" s="3"/>
      <c r="E42" s="8"/>
      <c r="F42" s="8"/>
      <c r="G42" s="1"/>
      <c r="H42" s="1"/>
      <c r="I42" s="14"/>
      <c r="J42" s="3"/>
      <c r="K42" s="3"/>
      <c r="L42" s="3"/>
      <c r="M42" s="16"/>
      <c r="N42" s="16"/>
      <c r="O42" s="4"/>
      <c r="P42" s="4"/>
      <c r="Q42" s="15"/>
      <c r="R42" s="6"/>
      <c r="S42" s="6"/>
      <c r="T42" s="6"/>
      <c r="U42" s="16"/>
      <c r="V42" s="16"/>
      <c r="W42" s="4"/>
      <c r="X42" s="4"/>
      <c r="Y42" s="15"/>
      <c r="Z42" s="6"/>
      <c r="AA42" s="6"/>
      <c r="AB42" s="6"/>
      <c r="AC42" s="16"/>
      <c r="AD42" s="16"/>
      <c r="AE42" s="4"/>
      <c r="AF42" s="4"/>
      <c r="AG42" s="15"/>
      <c r="AH42" s="6"/>
      <c r="AI42" s="6"/>
      <c r="AJ42" s="6"/>
      <c r="AK42" s="16"/>
      <c r="AL42" s="16"/>
      <c r="AM42" s="4"/>
    </row>
    <row r="43" spans="1:39" ht="22" customHeight="1">
      <c r="A43" s="14"/>
      <c r="B43" s="3"/>
      <c r="C43" s="3"/>
      <c r="D43" s="3"/>
      <c r="E43" s="8"/>
      <c r="F43" s="8"/>
      <c r="G43" s="1"/>
      <c r="H43" s="1"/>
      <c r="I43" s="14"/>
      <c r="J43" s="3"/>
      <c r="K43" s="3"/>
      <c r="L43" s="3"/>
      <c r="M43" s="16"/>
      <c r="N43" s="16"/>
      <c r="O43" s="4"/>
      <c r="P43" s="4"/>
      <c r="Q43" s="15"/>
      <c r="R43" s="6"/>
      <c r="S43" s="6"/>
      <c r="T43" s="6"/>
      <c r="U43" s="16"/>
      <c r="V43" s="16"/>
      <c r="W43" s="4"/>
      <c r="X43" s="4"/>
      <c r="Y43" s="15"/>
      <c r="Z43" s="6"/>
      <c r="AA43" s="6"/>
      <c r="AB43" s="6"/>
      <c r="AC43" s="16"/>
      <c r="AD43" s="16"/>
      <c r="AE43" s="4"/>
      <c r="AF43" s="4"/>
      <c r="AG43" s="15"/>
      <c r="AH43" s="6"/>
      <c r="AI43" s="6"/>
      <c r="AJ43" s="6"/>
      <c r="AK43" s="16"/>
      <c r="AL43" s="16"/>
      <c r="AM43" s="4"/>
    </row>
    <row r="44" spans="1:39" ht="22" customHeight="1">
      <c r="A44" s="14"/>
      <c r="B44" s="3"/>
      <c r="C44" s="3"/>
      <c r="D44" s="3"/>
      <c r="E44" s="8"/>
      <c r="F44" s="8"/>
      <c r="G44" s="1"/>
      <c r="H44" s="1"/>
      <c r="I44" s="14"/>
      <c r="J44" s="3"/>
      <c r="K44" s="3"/>
      <c r="L44" s="3"/>
      <c r="M44" s="16"/>
      <c r="N44" s="16"/>
      <c r="O44" s="4"/>
      <c r="P44" s="4"/>
      <c r="Q44" s="15"/>
      <c r="R44" s="6"/>
      <c r="S44" s="6"/>
      <c r="T44" s="6"/>
      <c r="U44" s="16"/>
      <c r="V44" s="16"/>
      <c r="W44" s="4"/>
      <c r="X44" s="4"/>
      <c r="Y44" s="15"/>
      <c r="Z44" s="6"/>
      <c r="AA44" s="6"/>
      <c r="AB44" s="6"/>
      <c r="AC44" s="16"/>
      <c r="AD44" s="16"/>
      <c r="AE44" s="4"/>
      <c r="AF44" s="4"/>
      <c r="AG44" s="15"/>
      <c r="AH44" s="6"/>
      <c r="AI44" s="6"/>
      <c r="AJ44" s="6"/>
      <c r="AK44" s="16"/>
      <c r="AL44" s="16"/>
      <c r="AM44" s="4"/>
    </row>
    <row r="45" spans="1:39" ht="22" customHeight="1">
      <c r="A45" s="14"/>
      <c r="B45" s="3"/>
      <c r="C45" s="3"/>
      <c r="D45" s="3"/>
      <c r="E45" s="8"/>
      <c r="F45" s="8"/>
      <c r="G45" s="1"/>
      <c r="H45" s="1"/>
      <c r="I45" s="14"/>
      <c r="J45" s="3"/>
      <c r="K45" s="3"/>
      <c r="L45" s="3"/>
      <c r="M45" s="16"/>
      <c r="N45" s="16"/>
      <c r="O45" s="4"/>
      <c r="P45" s="4"/>
      <c r="Q45" s="15"/>
      <c r="R45" s="6"/>
      <c r="S45" s="6"/>
      <c r="T45" s="6"/>
      <c r="U45" s="16"/>
      <c r="V45" s="16"/>
      <c r="W45" s="4"/>
      <c r="X45" s="4"/>
      <c r="Y45" s="15"/>
      <c r="Z45" s="6"/>
      <c r="AA45" s="6"/>
      <c r="AB45" s="6"/>
      <c r="AC45" s="16"/>
      <c r="AD45" s="16"/>
      <c r="AE45" s="4"/>
      <c r="AF45" s="4"/>
      <c r="AG45" s="15"/>
      <c r="AH45" s="6"/>
      <c r="AI45" s="6"/>
      <c r="AJ45" s="6"/>
      <c r="AK45" s="16"/>
      <c r="AL45" s="16"/>
      <c r="AM45" s="4"/>
    </row>
    <row r="46" spans="1:39" ht="22" customHeight="1">
      <c r="A46" s="14"/>
      <c r="B46" s="3"/>
      <c r="C46" s="3"/>
      <c r="D46" s="3"/>
      <c r="E46" s="8"/>
      <c r="F46" s="8"/>
      <c r="G46" s="1"/>
      <c r="H46" s="1"/>
      <c r="I46" s="14"/>
      <c r="J46" s="3"/>
      <c r="K46" s="3"/>
      <c r="L46" s="3"/>
      <c r="M46" s="16"/>
      <c r="N46" s="16"/>
      <c r="O46" s="4"/>
      <c r="P46" s="4"/>
      <c r="Q46" s="15"/>
      <c r="R46" s="6"/>
      <c r="S46" s="6"/>
      <c r="T46" s="6"/>
      <c r="U46" s="16"/>
      <c r="V46" s="16"/>
      <c r="W46" s="4"/>
      <c r="X46" s="4"/>
      <c r="Y46" s="15"/>
      <c r="Z46" s="6"/>
      <c r="AA46" s="6"/>
      <c r="AB46" s="6"/>
      <c r="AC46" s="16"/>
      <c r="AD46" s="16"/>
      <c r="AE46" s="4"/>
      <c r="AF46" s="4"/>
      <c r="AG46" s="15"/>
      <c r="AH46" s="6"/>
      <c r="AI46" s="6"/>
      <c r="AJ46" s="6"/>
      <c r="AK46" s="16"/>
      <c r="AL46" s="16"/>
      <c r="AM46" s="4"/>
    </row>
    <row r="47" spans="1:39" ht="22" customHeight="1">
      <c r="A47" s="14"/>
      <c r="B47" s="3"/>
      <c r="C47" s="3"/>
      <c r="D47" s="3"/>
      <c r="E47" s="8"/>
      <c r="F47" s="8"/>
      <c r="G47" s="1"/>
      <c r="H47" s="1"/>
      <c r="I47" s="14"/>
      <c r="J47" s="3"/>
      <c r="K47" s="3"/>
      <c r="L47" s="3"/>
      <c r="M47" s="16"/>
      <c r="N47" s="16"/>
      <c r="O47" s="4"/>
      <c r="P47" s="4"/>
      <c r="Q47" s="15"/>
      <c r="R47" s="6"/>
      <c r="S47" s="6"/>
      <c r="T47" s="6"/>
      <c r="U47" s="16"/>
      <c r="V47" s="16"/>
      <c r="W47" s="4"/>
      <c r="X47" s="4"/>
      <c r="Y47" s="15"/>
      <c r="Z47" s="6"/>
      <c r="AA47" s="6"/>
      <c r="AB47" s="6"/>
      <c r="AC47" s="16"/>
      <c r="AD47" s="16"/>
      <c r="AE47" s="4"/>
      <c r="AF47" s="4"/>
      <c r="AG47" s="15"/>
      <c r="AH47" s="6"/>
      <c r="AI47" s="6"/>
      <c r="AJ47" s="6"/>
      <c r="AK47" s="16"/>
      <c r="AL47" s="16"/>
      <c r="AM47" s="4"/>
    </row>
    <row r="48" spans="1:39" ht="22" customHeight="1">
      <c r="A48" s="14"/>
      <c r="B48" s="3"/>
      <c r="C48" s="3"/>
      <c r="D48" s="3"/>
      <c r="E48" s="8"/>
      <c r="F48" s="8"/>
      <c r="G48" s="1"/>
      <c r="H48" s="1"/>
      <c r="I48" s="14"/>
      <c r="J48" s="3"/>
      <c r="K48" s="3"/>
      <c r="L48" s="3"/>
      <c r="M48" s="16"/>
      <c r="N48" s="16"/>
      <c r="O48" s="4"/>
      <c r="P48" s="4"/>
      <c r="Q48" s="15"/>
      <c r="R48" s="6"/>
      <c r="S48" s="6"/>
      <c r="T48" s="6"/>
      <c r="U48" s="16"/>
      <c r="V48" s="16"/>
      <c r="W48" s="4"/>
      <c r="X48" s="4"/>
      <c r="Y48" s="15"/>
      <c r="Z48" s="6"/>
      <c r="AA48" s="6"/>
      <c r="AB48" s="6"/>
      <c r="AC48" s="16"/>
      <c r="AD48" s="16"/>
      <c r="AE48" s="4"/>
      <c r="AF48" s="4"/>
      <c r="AG48" s="15"/>
      <c r="AH48" s="6"/>
      <c r="AI48" s="6"/>
      <c r="AJ48" s="6"/>
      <c r="AK48" s="16"/>
      <c r="AL48" s="16"/>
      <c r="AM48" s="4"/>
    </row>
    <row r="49" spans="1:39" ht="22" customHeight="1">
      <c r="A49" s="14"/>
      <c r="B49" s="3"/>
      <c r="C49" s="3"/>
      <c r="D49" s="3"/>
      <c r="E49" s="8"/>
      <c r="F49" s="8"/>
      <c r="G49" s="1"/>
      <c r="H49" s="1"/>
      <c r="I49" s="14"/>
      <c r="J49" s="3"/>
      <c r="K49" s="3"/>
      <c r="L49" s="3"/>
      <c r="M49" s="16"/>
      <c r="N49" s="16"/>
      <c r="O49" s="4"/>
      <c r="P49" s="4"/>
      <c r="Q49" s="15"/>
      <c r="R49" s="6"/>
      <c r="S49" s="6"/>
      <c r="T49" s="6"/>
      <c r="U49" s="16"/>
      <c r="V49" s="16"/>
      <c r="W49" s="4"/>
      <c r="X49" s="4"/>
      <c r="Y49" s="15"/>
      <c r="Z49" s="6"/>
      <c r="AA49" s="6"/>
      <c r="AB49" s="6"/>
      <c r="AC49" s="16"/>
      <c r="AD49" s="16"/>
      <c r="AE49" s="4"/>
      <c r="AF49" s="4"/>
      <c r="AG49" s="15"/>
      <c r="AH49" s="6"/>
      <c r="AI49" s="6"/>
      <c r="AJ49" s="6"/>
      <c r="AK49" s="16"/>
      <c r="AL49" s="16"/>
      <c r="AM49" s="4"/>
    </row>
    <row r="50" spans="1:39" ht="22" customHeight="1">
      <c r="A50" s="14"/>
      <c r="B50" s="3"/>
      <c r="C50" s="3"/>
      <c r="D50" s="3"/>
      <c r="E50" s="8"/>
      <c r="F50" s="8"/>
      <c r="G50" s="1"/>
      <c r="H50" s="1"/>
      <c r="I50" s="14"/>
      <c r="J50" s="3"/>
      <c r="K50" s="3"/>
      <c r="L50" s="3"/>
      <c r="M50" s="16"/>
      <c r="N50" s="16"/>
      <c r="O50" s="4"/>
      <c r="P50" s="4"/>
      <c r="Q50" s="15"/>
      <c r="R50" s="6"/>
      <c r="S50" s="6"/>
      <c r="T50" s="6"/>
      <c r="U50" s="16"/>
      <c r="V50" s="16"/>
      <c r="W50" s="4"/>
      <c r="X50" s="4"/>
      <c r="Y50" s="15"/>
      <c r="Z50" s="6"/>
      <c r="AA50" s="6"/>
      <c r="AB50" s="6"/>
      <c r="AC50" s="16"/>
      <c r="AD50" s="16"/>
      <c r="AE50" s="4"/>
      <c r="AF50" s="4"/>
      <c r="AG50" s="15"/>
      <c r="AH50" s="6"/>
      <c r="AI50" s="6"/>
      <c r="AJ50" s="6"/>
      <c r="AK50" s="16"/>
      <c r="AL50" s="16"/>
      <c r="AM50" s="4"/>
    </row>
    <row r="51" spans="1:39" ht="22" customHeight="1">
      <c r="A51" s="14"/>
      <c r="B51" s="3"/>
      <c r="C51" s="3"/>
      <c r="D51" s="3"/>
      <c r="E51" s="8"/>
      <c r="F51" s="8"/>
      <c r="G51" s="1"/>
      <c r="H51" s="1"/>
      <c r="I51" s="14"/>
      <c r="J51" s="3"/>
      <c r="K51" s="3"/>
      <c r="L51" s="3"/>
      <c r="M51" s="16"/>
      <c r="N51" s="16"/>
      <c r="O51" s="4"/>
      <c r="P51" s="4"/>
      <c r="Q51" s="15"/>
      <c r="R51" s="6"/>
      <c r="S51" s="6"/>
      <c r="T51" s="6"/>
      <c r="U51" s="16"/>
      <c r="V51" s="16"/>
      <c r="W51" s="4"/>
      <c r="X51" s="4"/>
      <c r="Y51" s="15"/>
      <c r="Z51" s="6"/>
      <c r="AA51" s="6"/>
      <c r="AB51" s="6"/>
      <c r="AC51" s="16"/>
      <c r="AD51" s="16"/>
      <c r="AE51" s="4"/>
      <c r="AF51" s="4"/>
      <c r="AG51" s="15"/>
      <c r="AH51" s="6"/>
      <c r="AI51" s="6"/>
      <c r="AJ51" s="6"/>
      <c r="AK51" s="16"/>
      <c r="AL51" s="16"/>
      <c r="AM51" s="4"/>
    </row>
    <row r="52" spans="1:39" ht="22" customHeight="1">
      <c r="A52" s="14"/>
      <c r="B52" s="3"/>
      <c r="C52" s="3"/>
      <c r="D52" s="3"/>
      <c r="E52" s="8"/>
      <c r="F52" s="8"/>
      <c r="G52" s="1"/>
      <c r="H52" s="1"/>
      <c r="I52" s="14"/>
      <c r="J52" s="3"/>
      <c r="K52" s="3"/>
      <c r="L52" s="3"/>
      <c r="M52" s="16"/>
      <c r="N52" s="16"/>
      <c r="O52" s="4"/>
      <c r="P52" s="4"/>
      <c r="Q52" s="15"/>
      <c r="R52" s="6"/>
      <c r="S52" s="6"/>
      <c r="T52" s="6"/>
      <c r="U52" s="16"/>
      <c r="V52" s="16"/>
      <c r="W52" s="4"/>
      <c r="X52" s="4"/>
      <c r="Y52" s="15"/>
      <c r="Z52" s="6"/>
      <c r="AA52" s="6"/>
      <c r="AB52" s="6"/>
      <c r="AC52" s="16"/>
      <c r="AD52" s="16"/>
      <c r="AE52" s="4"/>
      <c r="AF52" s="4"/>
      <c r="AG52" s="15"/>
      <c r="AH52" s="6"/>
      <c r="AI52" s="6"/>
      <c r="AJ52" s="6"/>
      <c r="AK52" s="16"/>
      <c r="AL52" s="16"/>
      <c r="AM52" s="4"/>
    </row>
    <row r="53" spans="1:39" ht="22" customHeight="1">
      <c r="A53" s="14"/>
      <c r="B53" s="3"/>
      <c r="C53" s="3"/>
      <c r="D53" s="3"/>
      <c r="E53" s="8"/>
      <c r="F53" s="8"/>
      <c r="G53" s="1"/>
      <c r="H53" s="1"/>
      <c r="I53" s="14"/>
      <c r="J53" s="3"/>
      <c r="K53" s="3"/>
      <c r="L53" s="3"/>
      <c r="M53" s="16"/>
      <c r="N53" s="16"/>
      <c r="O53" s="4"/>
      <c r="P53" s="4"/>
      <c r="Q53" s="15"/>
      <c r="R53" s="6"/>
      <c r="S53" s="6"/>
      <c r="T53" s="6"/>
      <c r="U53" s="16"/>
      <c r="V53" s="16"/>
      <c r="W53" s="4"/>
      <c r="X53" s="4"/>
      <c r="Y53" s="15"/>
      <c r="Z53" s="6"/>
      <c r="AA53" s="6"/>
      <c r="AB53" s="6"/>
      <c r="AC53" s="16"/>
      <c r="AD53" s="16"/>
      <c r="AE53" s="4"/>
      <c r="AF53" s="4"/>
      <c r="AG53" s="15"/>
      <c r="AH53" s="6"/>
      <c r="AI53" s="6"/>
      <c r="AJ53" s="6"/>
      <c r="AK53" s="16"/>
      <c r="AL53" s="16"/>
      <c r="AM53" s="4"/>
    </row>
    <row r="54" spans="1:39" ht="22" customHeight="1">
      <c r="A54" s="14"/>
      <c r="B54" s="3"/>
      <c r="C54" s="3"/>
      <c r="D54" s="3"/>
      <c r="E54" s="8"/>
      <c r="F54" s="8"/>
      <c r="G54" s="1"/>
      <c r="H54" s="1"/>
      <c r="I54" s="14"/>
      <c r="J54" s="3"/>
      <c r="K54" s="3"/>
      <c r="L54" s="3"/>
      <c r="M54" s="16"/>
      <c r="N54" s="16"/>
      <c r="O54" s="4"/>
      <c r="P54" s="4"/>
      <c r="Q54" s="15"/>
      <c r="R54" s="6"/>
      <c r="S54" s="6"/>
      <c r="T54" s="6"/>
      <c r="U54" s="16"/>
      <c r="V54" s="16"/>
      <c r="W54" s="4"/>
      <c r="X54" s="4"/>
      <c r="Y54" s="15"/>
      <c r="Z54" s="6"/>
      <c r="AA54" s="6"/>
      <c r="AB54" s="6"/>
      <c r="AC54" s="16"/>
      <c r="AD54" s="16"/>
      <c r="AE54" s="4"/>
      <c r="AF54" s="4"/>
      <c r="AG54" s="15"/>
      <c r="AH54" s="6"/>
      <c r="AI54" s="6"/>
      <c r="AJ54" s="6"/>
      <c r="AK54" s="16"/>
      <c r="AL54" s="16"/>
      <c r="AM54" s="4"/>
    </row>
    <row r="55" spans="1:39" ht="22" customHeight="1">
      <c r="A55" s="14"/>
      <c r="B55" s="3"/>
      <c r="C55" s="3"/>
      <c r="D55" s="3"/>
      <c r="E55" s="8"/>
      <c r="F55" s="8"/>
      <c r="G55" s="1"/>
      <c r="H55" s="1"/>
      <c r="I55" s="14"/>
      <c r="J55" s="3"/>
      <c r="K55" s="3"/>
      <c r="L55" s="3"/>
      <c r="M55" s="16"/>
      <c r="N55" s="16"/>
      <c r="O55" s="4"/>
      <c r="P55" s="4"/>
      <c r="Q55" s="15"/>
      <c r="R55" s="6"/>
      <c r="S55" s="6"/>
      <c r="T55" s="6"/>
      <c r="U55" s="16"/>
      <c r="V55" s="16"/>
      <c r="W55" s="4"/>
      <c r="X55" s="4"/>
      <c r="Y55" s="15"/>
      <c r="Z55" s="6"/>
      <c r="AA55" s="6"/>
      <c r="AB55" s="6"/>
      <c r="AC55" s="16"/>
      <c r="AD55" s="16"/>
      <c r="AE55" s="4"/>
      <c r="AF55" s="4"/>
      <c r="AG55" s="15"/>
      <c r="AH55" s="6"/>
      <c r="AI55" s="6"/>
      <c r="AJ55" s="6"/>
      <c r="AK55" s="16"/>
      <c r="AL55" s="16"/>
      <c r="AM55" s="4"/>
    </row>
    <row r="56" spans="1:39" ht="22" customHeight="1">
      <c r="A56" s="14"/>
      <c r="B56" s="3"/>
      <c r="C56" s="3"/>
      <c r="D56" s="3"/>
      <c r="E56" s="8"/>
      <c r="F56" s="8"/>
      <c r="G56" s="1"/>
      <c r="H56" s="1"/>
      <c r="I56" s="14"/>
      <c r="J56" s="3"/>
      <c r="K56" s="3"/>
      <c r="L56" s="3"/>
      <c r="M56" s="16"/>
      <c r="N56" s="16"/>
      <c r="O56" s="4"/>
      <c r="P56" s="4"/>
      <c r="Q56" s="15"/>
      <c r="R56" s="6"/>
      <c r="S56" s="6"/>
      <c r="T56" s="6"/>
      <c r="U56" s="16"/>
      <c r="V56" s="16"/>
      <c r="W56" s="4"/>
      <c r="X56" s="4"/>
      <c r="Y56" s="15"/>
      <c r="Z56" s="6"/>
      <c r="AA56" s="6"/>
      <c r="AB56" s="6"/>
      <c r="AC56" s="16"/>
      <c r="AD56" s="16"/>
      <c r="AE56" s="4"/>
      <c r="AF56" s="4"/>
      <c r="AG56" s="15"/>
      <c r="AH56" s="6"/>
      <c r="AI56" s="6"/>
      <c r="AJ56" s="6"/>
      <c r="AK56" s="16"/>
      <c r="AL56" s="16"/>
      <c r="AM56" s="4"/>
    </row>
    <row r="57" spans="1:39" ht="22" customHeight="1">
      <c r="A57" s="14"/>
      <c r="B57" s="3"/>
      <c r="C57" s="3"/>
      <c r="D57" s="3"/>
      <c r="E57" s="8"/>
      <c r="F57" s="8"/>
      <c r="G57" s="1"/>
      <c r="H57" s="1"/>
      <c r="I57" s="14"/>
      <c r="J57" s="3"/>
      <c r="K57" s="3"/>
      <c r="L57" s="3"/>
      <c r="M57" s="16"/>
      <c r="N57" s="16"/>
      <c r="O57" s="4"/>
      <c r="P57" s="4"/>
      <c r="Q57" s="15"/>
      <c r="R57" s="6"/>
      <c r="S57" s="6"/>
      <c r="T57" s="6"/>
      <c r="U57" s="16"/>
      <c r="V57" s="16"/>
      <c r="W57" s="4"/>
      <c r="X57" s="4"/>
      <c r="Y57" s="15"/>
      <c r="Z57" s="6"/>
      <c r="AA57" s="6"/>
      <c r="AB57" s="6"/>
      <c r="AC57" s="16"/>
      <c r="AD57" s="16"/>
      <c r="AE57" s="4"/>
      <c r="AF57" s="4"/>
      <c r="AG57" s="15"/>
      <c r="AH57" s="6"/>
      <c r="AI57" s="6"/>
      <c r="AJ57" s="6"/>
      <c r="AK57" s="16"/>
      <c r="AL57" s="16"/>
      <c r="AM57" s="4"/>
    </row>
    <row r="58" spans="1:39" ht="22" customHeight="1">
      <c r="A58" s="14"/>
      <c r="B58" s="3"/>
      <c r="C58" s="3"/>
      <c r="D58" s="3"/>
      <c r="E58" s="8"/>
      <c r="F58" s="8"/>
      <c r="G58" s="1"/>
      <c r="H58" s="1"/>
      <c r="I58" s="14"/>
      <c r="J58" s="3"/>
      <c r="K58" s="3"/>
      <c r="L58" s="3"/>
      <c r="M58" s="16"/>
      <c r="N58" s="16"/>
      <c r="O58" s="4"/>
      <c r="P58" s="4"/>
      <c r="Q58" s="15"/>
      <c r="R58" s="6"/>
      <c r="S58" s="6"/>
      <c r="T58" s="6"/>
      <c r="U58" s="16"/>
      <c r="V58" s="16"/>
      <c r="W58" s="4"/>
      <c r="X58" s="4"/>
      <c r="Y58" s="15"/>
      <c r="Z58" s="6"/>
      <c r="AA58" s="6"/>
      <c r="AB58" s="6"/>
      <c r="AC58" s="16"/>
      <c r="AD58" s="16"/>
      <c r="AE58" s="4"/>
      <c r="AF58" s="4"/>
      <c r="AG58" s="15"/>
      <c r="AH58" s="6"/>
      <c r="AI58" s="6"/>
      <c r="AJ58" s="6"/>
      <c r="AK58" s="16"/>
      <c r="AL58" s="16"/>
      <c r="AM58" s="4"/>
    </row>
    <row r="59" spans="1:39" ht="22" customHeight="1">
      <c r="A59" s="14"/>
      <c r="B59" s="3"/>
      <c r="C59" s="3"/>
      <c r="D59" s="3"/>
      <c r="E59" s="8"/>
      <c r="F59" s="8"/>
      <c r="G59" s="1"/>
      <c r="H59" s="1"/>
      <c r="I59" s="14"/>
      <c r="J59" s="3"/>
      <c r="K59" s="3"/>
      <c r="L59" s="3"/>
      <c r="M59" s="16"/>
      <c r="N59" s="16"/>
      <c r="O59" s="4"/>
      <c r="P59" s="4"/>
      <c r="Q59" s="15"/>
      <c r="R59" s="6"/>
      <c r="S59" s="6"/>
      <c r="T59" s="6"/>
      <c r="U59" s="16"/>
      <c r="V59" s="16"/>
      <c r="W59" s="4"/>
      <c r="X59" s="4"/>
      <c r="Y59" s="15"/>
      <c r="Z59" s="6"/>
      <c r="AA59" s="6"/>
      <c r="AB59" s="6"/>
      <c r="AC59" s="16"/>
      <c r="AD59" s="16"/>
      <c r="AE59" s="4"/>
      <c r="AF59" s="4"/>
      <c r="AG59" s="15"/>
      <c r="AH59" s="6"/>
      <c r="AI59" s="6"/>
      <c r="AJ59" s="6"/>
      <c r="AK59" s="16"/>
      <c r="AL59" s="16"/>
      <c r="AM59" s="4"/>
    </row>
    <row r="60" spans="1:39" ht="22" customHeight="1">
      <c r="A60" s="14"/>
      <c r="B60" s="3"/>
      <c r="C60" s="3"/>
      <c r="D60" s="3"/>
      <c r="E60" s="8"/>
      <c r="F60" s="8"/>
      <c r="G60" s="1"/>
      <c r="H60" s="1"/>
      <c r="I60" s="14"/>
      <c r="J60" s="3"/>
      <c r="K60" s="3"/>
      <c r="L60" s="3"/>
      <c r="M60" s="16"/>
      <c r="N60" s="16"/>
      <c r="O60" s="4"/>
      <c r="P60" s="4"/>
      <c r="Q60" s="15"/>
      <c r="R60" s="6"/>
      <c r="S60" s="6"/>
      <c r="T60" s="6"/>
      <c r="U60" s="16"/>
      <c r="V60" s="16"/>
      <c r="W60" s="4"/>
      <c r="X60" s="4"/>
      <c r="Y60" s="15"/>
      <c r="Z60" s="6"/>
      <c r="AA60" s="6"/>
      <c r="AB60" s="6"/>
      <c r="AC60" s="16"/>
      <c r="AD60" s="16"/>
      <c r="AE60" s="4"/>
      <c r="AF60" s="4"/>
      <c r="AG60" s="15"/>
      <c r="AH60" s="6"/>
      <c r="AI60" s="6"/>
      <c r="AJ60" s="6"/>
      <c r="AK60" s="16"/>
      <c r="AL60" s="16"/>
      <c r="AM60" s="4"/>
    </row>
    <row r="61" spans="1:39" ht="22" customHeight="1">
      <c r="A61" s="14"/>
      <c r="B61" s="3"/>
      <c r="C61" s="3"/>
      <c r="D61" s="3"/>
      <c r="E61" s="8"/>
      <c r="F61" s="8"/>
      <c r="G61" s="1"/>
      <c r="H61" s="1"/>
      <c r="I61" s="14"/>
      <c r="J61" s="3"/>
      <c r="K61" s="3"/>
      <c r="L61" s="3"/>
      <c r="M61" s="16"/>
      <c r="N61" s="16"/>
      <c r="O61" s="4"/>
      <c r="P61" s="4"/>
      <c r="Q61" s="15"/>
      <c r="R61" s="6"/>
      <c r="S61" s="6"/>
      <c r="T61" s="6"/>
      <c r="U61" s="16"/>
      <c r="V61" s="16"/>
      <c r="W61" s="4"/>
      <c r="X61" s="4"/>
      <c r="Y61" s="15"/>
      <c r="Z61" s="6"/>
      <c r="AA61" s="6"/>
      <c r="AB61" s="6"/>
      <c r="AC61" s="16"/>
      <c r="AD61" s="16"/>
      <c r="AE61" s="4"/>
      <c r="AF61" s="4"/>
      <c r="AG61" s="15"/>
      <c r="AH61" s="6"/>
      <c r="AI61" s="6"/>
      <c r="AJ61" s="6"/>
      <c r="AK61" s="16"/>
      <c r="AL61" s="16"/>
      <c r="AM61" s="4"/>
    </row>
    <row r="62" spans="1:39" ht="22" customHeight="1">
      <c r="A62" s="14"/>
      <c r="B62" s="3"/>
      <c r="C62" s="3"/>
      <c r="D62" s="3"/>
      <c r="E62" s="8"/>
      <c r="F62" s="8"/>
      <c r="G62" s="1"/>
      <c r="H62" s="1"/>
      <c r="I62" s="14"/>
      <c r="J62" s="3"/>
      <c r="K62" s="3"/>
      <c r="L62" s="3"/>
      <c r="M62" s="16"/>
      <c r="N62" s="16"/>
      <c r="O62" s="4"/>
      <c r="P62" s="4"/>
      <c r="Q62" s="15"/>
      <c r="R62" s="6"/>
      <c r="S62" s="6"/>
      <c r="T62" s="6"/>
      <c r="U62" s="16"/>
      <c r="V62" s="16"/>
      <c r="W62" s="4"/>
      <c r="X62" s="4"/>
      <c r="Y62" s="15"/>
      <c r="Z62" s="6"/>
      <c r="AA62" s="6"/>
      <c r="AB62" s="6"/>
      <c r="AC62" s="16"/>
      <c r="AD62" s="16"/>
      <c r="AE62" s="4"/>
      <c r="AF62" s="4"/>
      <c r="AG62" s="15"/>
      <c r="AH62" s="6"/>
      <c r="AI62" s="6"/>
      <c r="AJ62" s="6"/>
      <c r="AK62" s="16"/>
      <c r="AL62" s="16"/>
      <c r="AM62" s="4"/>
    </row>
    <row r="63" spans="1:39" ht="22" customHeight="1">
      <c r="A63" s="14"/>
      <c r="B63" s="3"/>
      <c r="C63" s="3"/>
      <c r="D63" s="3"/>
      <c r="E63" s="8"/>
      <c r="F63" s="8"/>
      <c r="G63" s="1"/>
      <c r="H63" s="1"/>
      <c r="I63" s="14"/>
      <c r="J63" s="3"/>
      <c r="K63" s="3"/>
      <c r="L63" s="3"/>
      <c r="M63" s="16"/>
      <c r="N63" s="16"/>
      <c r="O63" s="4"/>
      <c r="P63" s="4"/>
      <c r="Q63" s="15"/>
      <c r="R63" s="6"/>
      <c r="S63" s="6"/>
      <c r="T63" s="6"/>
      <c r="U63" s="16"/>
      <c r="V63" s="16"/>
      <c r="W63" s="4"/>
      <c r="X63" s="4"/>
      <c r="Y63" s="15"/>
      <c r="Z63" s="6"/>
      <c r="AA63" s="6"/>
      <c r="AB63" s="6"/>
      <c r="AC63" s="16"/>
      <c r="AD63" s="16"/>
      <c r="AE63" s="4"/>
      <c r="AF63" s="4"/>
      <c r="AG63" s="15"/>
      <c r="AH63" s="6"/>
      <c r="AI63" s="6"/>
      <c r="AJ63" s="6"/>
      <c r="AK63" s="16"/>
      <c r="AL63" s="16"/>
      <c r="AM63" s="4"/>
    </row>
    <row r="64" spans="1:39" ht="22" customHeight="1">
      <c r="A64" s="14"/>
      <c r="B64" s="3"/>
      <c r="C64" s="3"/>
      <c r="D64" s="3"/>
      <c r="E64" s="8"/>
      <c r="F64" s="8"/>
      <c r="G64" s="1"/>
      <c r="H64" s="1"/>
      <c r="I64" s="14"/>
      <c r="J64" s="3"/>
      <c r="K64" s="3"/>
      <c r="L64" s="3"/>
      <c r="M64" s="16"/>
      <c r="N64" s="16"/>
      <c r="O64" s="4"/>
      <c r="P64" s="4"/>
      <c r="Q64" s="15"/>
      <c r="R64" s="6"/>
      <c r="S64" s="6"/>
      <c r="T64" s="6"/>
      <c r="U64" s="16"/>
      <c r="V64" s="16"/>
      <c r="W64" s="4"/>
      <c r="X64" s="4"/>
      <c r="Y64" s="15"/>
      <c r="Z64" s="6"/>
      <c r="AA64" s="6"/>
      <c r="AB64" s="6"/>
      <c r="AC64" s="16"/>
      <c r="AD64" s="16"/>
      <c r="AE64" s="4"/>
      <c r="AF64" s="4"/>
      <c r="AG64" s="15"/>
      <c r="AH64" s="6"/>
      <c r="AI64" s="6"/>
      <c r="AJ64" s="6"/>
      <c r="AK64" s="16"/>
      <c r="AL64" s="16"/>
      <c r="AM64" s="4"/>
    </row>
    <row r="65" spans="1:39" ht="22" customHeight="1">
      <c r="A65" s="14"/>
      <c r="B65" s="3"/>
      <c r="C65" s="3"/>
      <c r="D65" s="3"/>
      <c r="E65" s="8"/>
      <c r="F65" s="8"/>
      <c r="G65" s="1"/>
      <c r="H65" s="1"/>
      <c r="I65" s="14"/>
      <c r="J65" s="3"/>
      <c r="K65" s="3"/>
      <c r="L65" s="3"/>
      <c r="M65" s="16"/>
      <c r="N65" s="16"/>
      <c r="O65" s="4"/>
      <c r="P65" s="4"/>
      <c r="Q65" s="15"/>
      <c r="R65" s="6"/>
      <c r="S65" s="6"/>
      <c r="T65" s="6"/>
      <c r="U65" s="16"/>
      <c r="V65" s="16"/>
      <c r="W65" s="4"/>
      <c r="X65" s="4"/>
      <c r="Y65" s="15"/>
      <c r="Z65" s="6"/>
      <c r="AA65" s="6"/>
      <c r="AB65" s="6"/>
      <c r="AC65" s="16"/>
      <c r="AD65" s="16"/>
      <c r="AE65" s="4"/>
      <c r="AF65" s="4"/>
      <c r="AG65" s="15"/>
      <c r="AH65" s="6"/>
      <c r="AI65" s="6"/>
      <c r="AJ65" s="6"/>
      <c r="AK65" s="16"/>
      <c r="AL65" s="16"/>
      <c r="AM65" s="4"/>
    </row>
    <row r="66" spans="1:39" ht="22" customHeight="1">
      <c r="A66" s="14"/>
      <c r="B66" s="3"/>
      <c r="C66" s="3"/>
      <c r="D66" s="3"/>
      <c r="E66" s="8"/>
      <c r="F66" s="8"/>
      <c r="G66" s="1"/>
      <c r="H66" s="1"/>
      <c r="I66" s="14"/>
      <c r="J66" s="3"/>
      <c r="K66" s="3"/>
      <c r="L66" s="3"/>
      <c r="M66" s="16"/>
      <c r="N66" s="16"/>
      <c r="O66" s="4"/>
      <c r="P66" s="4"/>
      <c r="Q66" s="15"/>
      <c r="R66" s="6"/>
      <c r="S66" s="6"/>
      <c r="T66" s="6"/>
      <c r="U66" s="16"/>
      <c r="V66" s="16"/>
      <c r="W66" s="4"/>
      <c r="X66" s="4"/>
      <c r="Y66" s="15"/>
      <c r="Z66" s="6"/>
      <c r="AA66" s="6"/>
      <c r="AB66" s="6"/>
      <c r="AC66" s="16"/>
      <c r="AD66" s="16"/>
      <c r="AE66" s="4"/>
      <c r="AF66" s="4"/>
      <c r="AG66" s="15"/>
      <c r="AH66" s="6"/>
      <c r="AI66" s="6"/>
      <c r="AJ66" s="6"/>
      <c r="AK66" s="16"/>
      <c r="AL66" s="16"/>
      <c r="AM66" s="4"/>
    </row>
    <row r="67" spans="1:39" ht="22" customHeight="1">
      <c r="A67" s="14"/>
      <c r="B67" s="3"/>
      <c r="C67" s="3"/>
      <c r="D67" s="3"/>
      <c r="E67" s="8"/>
      <c r="F67" s="8"/>
      <c r="G67" s="1"/>
      <c r="H67" s="1"/>
      <c r="I67" s="14"/>
      <c r="J67" s="3"/>
      <c r="K67" s="3"/>
      <c r="L67" s="3"/>
      <c r="M67" s="16"/>
      <c r="N67" s="16"/>
      <c r="O67" s="4"/>
      <c r="P67" s="4"/>
      <c r="Q67" s="15"/>
      <c r="R67" s="6"/>
      <c r="S67" s="6"/>
      <c r="T67" s="6"/>
      <c r="U67" s="16"/>
      <c r="V67" s="16"/>
      <c r="W67" s="4"/>
      <c r="X67" s="4"/>
      <c r="Y67" s="15"/>
      <c r="Z67" s="6"/>
      <c r="AA67" s="6"/>
      <c r="AB67" s="6"/>
      <c r="AC67" s="16"/>
      <c r="AD67" s="16"/>
      <c r="AE67" s="4"/>
      <c r="AF67" s="4"/>
      <c r="AG67" s="15"/>
      <c r="AH67" s="6"/>
      <c r="AI67" s="6"/>
      <c r="AJ67" s="6"/>
      <c r="AK67" s="16"/>
      <c r="AL67" s="16"/>
      <c r="AM67" s="4"/>
    </row>
    <row r="68" spans="1:39" ht="22" customHeight="1">
      <c r="A68" s="14"/>
      <c r="B68" s="3"/>
      <c r="C68" s="3"/>
      <c r="D68" s="3"/>
      <c r="E68" s="8"/>
      <c r="F68" s="8"/>
      <c r="G68" s="1"/>
      <c r="H68" s="1"/>
      <c r="I68" s="14"/>
      <c r="J68" s="3"/>
      <c r="K68" s="3"/>
      <c r="L68" s="3"/>
      <c r="M68" s="16"/>
      <c r="N68" s="16"/>
      <c r="O68" s="4"/>
      <c r="P68" s="4"/>
      <c r="Q68" s="15"/>
      <c r="R68" s="6"/>
      <c r="S68" s="6"/>
      <c r="T68" s="6"/>
      <c r="U68" s="16"/>
      <c r="V68" s="16"/>
      <c r="W68" s="4"/>
      <c r="X68" s="4"/>
      <c r="Y68" s="15"/>
      <c r="Z68" s="6"/>
      <c r="AA68" s="6"/>
      <c r="AB68" s="6"/>
      <c r="AC68" s="16"/>
      <c r="AD68" s="16"/>
      <c r="AE68" s="4"/>
      <c r="AF68" s="4"/>
      <c r="AG68" s="15"/>
      <c r="AH68" s="6"/>
      <c r="AI68" s="6"/>
      <c r="AJ68" s="6"/>
      <c r="AK68" s="16"/>
      <c r="AL68" s="16"/>
      <c r="AM68" s="4"/>
    </row>
    <row r="69" spans="1:39" ht="22" customHeight="1">
      <c r="A69" s="14"/>
      <c r="B69" s="3"/>
      <c r="C69" s="3"/>
      <c r="D69" s="3"/>
      <c r="E69" s="8"/>
      <c r="F69" s="8"/>
      <c r="G69" s="1"/>
      <c r="H69" s="1"/>
      <c r="I69" s="14"/>
      <c r="J69" s="3"/>
      <c r="K69" s="3"/>
      <c r="L69" s="3"/>
      <c r="M69" s="16"/>
      <c r="N69" s="16"/>
      <c r="O69" s="4"/>
      <c r="P69" s="4"/>
      <c r="Q69" s="15"/>
      <c r="R69" s="6"/>
      <c r="S69" s="6"/>
      <c r="T69" s="6"/>
      <c r="U69" s="16"/>
      <c r="V69" s="16"/>
      <c r="W69" s="4"/>
      <c r="X69" s="4"/>
      <c r="Y69" s="15"/>
      <c r="Z69" s="6"/>
      <c r="AA69" s="6"/>
      <c r="AB69" s="6"/>
      <c r="AC69" s="16"/>
      <c r="AD69" s="16"/>
      <c r="AE69" s="4"/>
      <c r="AF69" s="4"/>
      <c r="AG69" s="15"/>
      <c r="AH69" s="6"/>
      <c r="AI69" s="6"/>
      <c r="AJ69" s="6"/>
      <c r="AK69" s="16"/>
      <c r="AL69" s="16"/>
      <c r="AM69" s="4"/>
    </row>
    <row r="70" spans="1:39" ht="22" customHeight="1">
      <c r="A70" s="14"/>
      <c r="B70" s="3"/>
      <c r="C70" s="3"/>
      <c r="D70" s="3"/>
      <c r="E70" s="8"/>
      <c r="F70" s="8"/>
      <c r="G70" s="1"/>
      <c r="H70" s="1"/>
      <c r="I70" s="14"/>
      <c r="J70" s="3"/>
      <c r="K70" s="3"/>
      <c r="L70" s="3"/>
      <c r="M70" s="16"/>
      <c r="N70" s="16"/>
      <c r="O70" s="4"/>
      <c r="P70" s="4"/>
      <c r="Q70" s="15"/>
      <c r="R70" s="6"/>
      <c r="S70" s="6"/>
      <c r="T70" s="6"/>
      <c r="U70" s="16"/>
      <c r="V70" s="16"/>
      <c r="W70" s="4"/>
      <c r="X70" s="4"/>
      <c r="Y70" s="15"/>
      <c r="Z70" s="6"/>
      <c r="AA70" s="6"/>
      <c r="AB70" s="6"/>
      <c r="AC70" s="16"/>
      <c r="AD70" s="16"/>
      <c r="AE70" s="4"/>
      <c r="AF70" s="4"/>
      <c r="AG70" s="15"/>
      <c r="AH70" s="6"/>
      <c r="AI70" s="6"/>
      <c r="AJ70" s="6"/>
      <c r="AK70" s="16"/>
      <c r="AL70" s="16"/>
      <c r="AM70" s="4"/>
    </row>
    <row r="71" spans="1:39" ht="22" customHeight="1">
      <c r="A71" s="14"/>
      <c r="B71" s="3"/>
      <c r="C71" s="3"/>
      <c r="D71" s="3"/>
      <c r="E71" s="8"/>
      <c r="F71" s="8"/>
      <c r="G71" s="1"/>
      <c r="H71" s="1"/>
      <c r="I71" s="14"/>
      <c r="J71" s="3"/>
      <c r="K71" s="3"/>
      <c r="L71" s="3"/>
      <c r="M71" s="16"/>
      <c r="N71" s="16"/>
      <c r="O71" s="4"/>
      <c r="P71" s="4"/>
      <c r="Q71" s="15"/>
      <c r="R71" s="6"/>
      <c r="S71" s="6"/>
      <c r="T71" s="6"/>
      <c r="U71" s="16"/>
      <c r="V71" s="16"/>
      <c r="W71" s="4"/>
      <c r="X71" s="4"/>
      <c r="Y71" s="15"/>
      <c r="Z71" s="6"/>
      <c r="AA71" s="6"/>
      <c r="AB71" s="6"/>
      <c r="AC71" s="16"/>
      <c r="AD71" s="16"/>
      <c r="AE71" s="4"/>
      <c r="AF71" s="4"/>
      <c r="AG71" s="15"/>
      <c r="AH71" s="6"/>
      <c r="AI71" s="6"/>
      <c r="AJ71" s="6"/>
      <c r="AK71" s="16"/>
      <c r="AL71" s="16"/>
      <c r="AM71" s="4"/>
    </row>
    <row r="72" spans="1:39" ht="22" customHeight="1">
      <c r="A72" s="14"/>
      <c r="B72" s="3"/>
      <c r="C72" s="3"/>
      <c r="D72" s="3"/>
      <c r="E72" s="8"/>
      <c r="F72" s="8"/>
      <c r="G72" s="1"/>
      <c r="H72" s="1"/>
      <c r="I72" s="14"/>
      <c r="J72" s="3"/>
      <c r="K72" s="3"/>
      <c r="L72" s="3"/>
      <c r="M72" s="16"/>
      <c r="N72" s="16"/>
      <c r="O72" s="4"/>
      <c r="P72" s="4"/>
      <c r="Q72" s="15"/>
      <c r="R72" s="6"/>
      <c r="S72" s="6"/>
      <c r="T72" s="6"/>
      <c r="U72" s="16"/>
      <c r="V72" s="16"/>
      <c r="W72" s="4"/>
      <c r="X72" s="4"/>
      <c r="Y72" s="15"/>
      <c r="Z72" s="6"/>
      <c r="AA72" s="6"/>
      <c r="AB72" s="6"/>
      <c r="AC72" s="16"/>
      <c r="AD72" s="16"/>
      <c r="AE72" s="4"/>
      <c r="AF72" s="4"/>
      <c r="AG72" s="15"/>
      <c r="AH72" s="6"/>
      <c r="AI72" s="6"/>
      <c r="AJ72" s="6"/>
      <c r="AK72" s="16"/>
      <c r="AL72" s="16"/>
      <c r="AM72" s="4"/>
    </row>
    <row r="73" spans="1:39" ht="22" customHeight="1">
      <c r="A73" s="14"/>
      <c r="B73" s="3"/>
      <c r="C73" s="3"/>
      <c r="D73" s="3"/>
      <c r="E73" s="8"/>
      <c r="F73" s="8"/>
      <c r="G73" s="1"/>
      <c r="H73" s="1"/>
      <c r="I73" s="14"/>
      <c r="J73" s="3"/>
      <c r="K73" s="3"/>
      <c r="L73" s="3"/>
      <c r="M73" s="16"/>
      <c r="N73" s="16"/>
      <c r="O73" s="4"/>
      <c r="P73" s="4"/>
      <c r="Q73" s="15"/>
      <c r="R73" s="6"/>
      <c r="S73" s="6"/>
      <c r="T73" s="6"/>
      <c r="U73" s="16"/>
      <c r="V73" s="16"/>
      <c r="W73" s="4"/>
      <c r="X73" s="4"/>
      <c r="Y73" s="15"/>
      <c r="Z73" s="6"/>
      <c r="AA73" s="6"/>
      <c r="AB73" s="6"/>
      <c r="AC73" s="16"/>
      <c r="AD73" s="16"/>
      <c r="AE73" s="4"/>
      <c r="AF73" s="4"/>
      <c r="AG73" s="15"/>
      <c r="AH73" s="6"/>
      <c r="AI73" s="6"/>
      <c r="AJ73" s="6"/>
      <c r="AK73" s="16"/>
      <c r="AL73" s="16"/>
      <c r="AM73" s="4"/>
    </row>
    <row r="74" spans="1:39" ht="22" customHeight="1">
      <c r="A74" s="14"/>
      <c r="B74" s="3"/>
      <c r="C74" s="3"/>
      <c r="D74" s="3"/>
      <c r="E74" s="8"/>
      <c r="F74" s="8"/>
      <c r="G74" s="1"/>
      <c r="H74" s="1"/>
      <c r="I74" s="14"/>
      <c r="J74" s="3"/>
      <c r="K74" s="3"/>
      <c r="L74" s="3"/>
      <c r="M74" s="16"/>
      <c r="N74" s="16"/>
      <c r="O74" s="4"/>
      <c r="P74" s="4"/>
      <c r="Q74" s="15"/>
      <c r="R74" s="6"/>
      <c r="S74" s="6"/>
      <c r="T74" s="6"/>
      <c r="U74" s="16"/>
      <c r="V74" s="16"/>
      <c r="W74" s="4"/>
      <c r="X74" s="4"/>
      <c r="Y74" s="15"/>
      <c r="Z74" s="6"/>
      <c r="AA74" s="6"/>
      <c r="AB74" s="6"/>
      <c r="AC74" s="16"/>
      <c r="AD74" s="16"/>
      <c r="AE74" s="4"/>
      <c r="AF74" s="4"/>
      <c r="AG74" s="15"/>
      <c r="AH74" s="6"/>
      <c r="AI74" s="6"/>
      <c r="AJ74" s="6"/>
      <c r="AK74" s="16"/>
      <c r="AL74" s="16"/>
      <c r="AM74" s="4"/>
    </row>
    <row r="75" spans="1:39" ht="22" customHeight="1">
      <c r="A75" s="14"/>
      <c r="B75" s="3"/>
      <c r="C75" s="3"/>
      <c r="D75" s="3"/>
      <c r="E75" s="8"/>
      <c r="F75" s="8"/>
      <c r="G75" s="1"/>
      <c r="H75" s="1"/>
      <c r="I75" s="14"/>
      <c r="J75" s="3"/>
      <c r="K75" s="3"/>
      <c r="L75" s="3"/>
      <c r="M75" s="16"/>
      <c r="N75" s="16"/>
      <c r="O75" s="4"/>
      <c r="P75" s="4"/>
      <c r="Q75" s="15"/>
      <c r="R75" s="6"/>
      <c r="S75" s="6"/>
      <c r="T75" s="6"/>
      <c r="U75" s="16"/>
      <c r="V75" s="16"/>
      <c r="W75" s="4"/>
      <c r="X75" s="4"/>
      <c r="Y75" s="15"/>
      <c r="Z75" s="6"/>
      <c r="AA75" s="6"/>
      <c r="AB75" s="6"/>
      <c r="AC75" s="16"/>
      <c r="AD75" s="16"/>
      <c r="AE75" s="4"/>
      <c r="AF75" s="4"/>
      <c r="AG75" s="15"/>
      <c r="AH75" s="6"/>
      <c r="AI75" s="6"/>
      <c r="AJ75" s="6"/>
      <c r="AK75" s="16"/>
      <c r="AL75" s="16"/>
      <c r="AM75" s="4"/>
    </row>
    <row r="76" spans="1:39" ht="22" customHeight="1">
      <c r="A76" s="14"/>
      <c r="B76" s="3"/>
      <c r="C76" s="3"/>
      <c r="D76" s="3"/>
      <c r="E76" s="8"/>
      <c r="F76" s="8"/>
      <c r="G76" s="1"/>
      <c r="H76" s="1"/>
      <c r="I76" s="14"/>
      <c r="J76" s="3"/>
      <c r="K76" s="3"/>
      <c r="L76" s="3"/>
      <c r="M76" s="16"/>
      <c r="N76" s="16"/>
      <c r="O76" s="4"/>
      <c r="P76" s="4"/>
      <c r="Q76" s="15"/>
      <c r="R76" s="6"/>
      <c r="S76" s="6"/>
      <c r="T76" s="6"/>
      <c r="U76" s="16"/>
      <c r="V76" s="16"/>
      <c r="W76" s="4"/>
      <c r="X76" s="4"/>
      <c r="Y76" s="15"/>
      <c r="Z76" s="6"/>
      <c r="AA76" s="6"/>
      <c r="AB76" s="6"/>
      <c r="AC76" s="16"/>
      <c r="AD76" s="16"/>
      <c r="AE76" s="4"/>
      <c r="AF76" s="4"/>
      <c r="AG76" s="15"/>
      <c r="AH76" s="6"/>
      <c r="AI76" s="6"/>
      <c r="AJ76" s="6"/>
      <c r="AK76" s="16"/>
      <c r="AL76" s="16"/>
      <c r="AM76" s="4"/>
    </row>
    <row r="77" spans="1:39" ht="22" customHeight="1">
      <c r="A77" s="14"/>
      <c r="B77" s="3"/>
      <c r="C77" s="3"/>
      <c r="D77" s="3"/>
      <c r="E77" s="8"/>
      <c r="F77" s="8"/>
      <c r="G77" s="1"/>
      <c r="H77" s="1"/>
      <c r="I77" s="14"/>
      <c r="J77" s="3"/>
      <c r="K77" s="3"/>
      <c r="L77" s="3"/>
      <c r="M77" s="16"/>
      <c r="N77" s="16"/>
      <c r="O77" s="4"/>
      <c r="P77" s="4"/>
      <c r="Q77" s="15"/>
      <c r="R77" s="6"/>
      <c r="S77" s="6"/>
      <c r="T77" s="6"/>
      <c r="U77" s="16"/>
      <c r="V77" s="16"/>
      <c r="W77" s="4"/>
      <c r="X77" s="4"/>
      <c r="Y77" s="15"/>
      <c r="Z77" s="6"/>
      <c r="AA77" s="6"/>
      <c r="AB77" s="6"/>
      <c r="AC77" s="16"/>
      <c r="AD77" s="16"/>
      <c r="AE77" s="4"/>
      <c r="AF77" s="4"/>
      <c r="AG77" s="15"/>
      <c r="AH77" s="6"/>
      <c r="AI77" s="6"/>
      <c r="AJ77" s="6"/>
      <c r="AK77" s="16"/>
      <c r="AL77" s="16"/>
      <c r="AM77" s="4"/>
    </row>
    <row r="78" spans="1:39" ht="22" customHeight="1">
      <c r="A78" s="14"/>
      <c r="B78" s="3"/>
      <c r="C78" s="3"/>
      <c r="D78" s="3"/>
      <c r="E78" s="8"/>
      <c r="F78" s="8"/>
      <c r="G78" s="1"/>
      <c r="H78" s="1"/>
      <c r="I78" s="14"/>
      <c r="J78" s="3"/>
      <c r="K78" s="3"/>
      <c r="L78" s="3"/>
      <c r="M78" s="16"/>
      <c r="N78" s="16"/>
      <c r="O78" s="4"/>
      <c r="P78" s="4"/>
      <c r="Q78" s="15"/>
      <c r="R78" s="6"/>
      <c r="S78" s="6"/>
      <c r="T78" s="6"/>
      <c r="U78" s="16"/>
      <c r="V78" s="16"/>
      <c r="W78" s="4"/>
      <c r="X78" s="4"/>
      <c r="Y78" s="15"/>
      <c r="Z78" s="6"/>
      <c r="AA78" s="6"/>
      <c r="AB78" s="6"/>
      <c r="AC78" s="16"/>
      <c r="AD78" s="16"/>
      <c r="AE78" s="4"/>
      <c r="AF78" s="4"/>
      <c r="AG78" s="15"/>
      <c r="AH78" s="6"/>
      <c r="AI78" s="6"/>
      <c r="AJ78" s="6"/>
      <c r="AK78" s="16"/>
      <c r="AL78" s="16"/>
      <c r="AM78" s="4"/>
    </row>
    <row r="79" spans="1:39" ht="22" customHeight="1">
      <c r="A79" s="14"/>
      <c r="B79" s="3"/>
      <c r="C79" s="3"/>
      <c r="D79" s="3"/>
      <c r="E79" s="8"/>
      <c r="F79" s="8"/>
      <c r="G79" s="1"/>
      <c r="H79" s="1"/>
      <c r="I79" s="14"/>
      <c r="J79" s="3"/>
      <c r="K79" s="3"/>
      <c r="L79" s="3"/>
      <c r="M79" s="16"/>
      <c r="N79" s="16"/>
      <c r="O79" s="4"/>
      <c r="P79" s="4"/>
      <c r="Q79" s="15"/>
      <c r="R79" s="6"/>
      <c r="S79" s="6"/>
      <c r="T79" s="6"/>
      <c r="U79" s="16"/>
      <c r="V79" s="16"/>
      <c r="W79" s="4"/>
      <c r="X79" s="4"/>
      <c r="Y79" s="15"/>
      <c r="Z79" s="6"/>
      <c r="AA79" s="6"/>
      <c r="AB79" s="6"/>
      <c r="AC79" s="16"/>
      <c r="AD79" s="16"/>
      <c r="AE79" s="4"/>
      <c r="AF79" s="4"/>
      <c r="AG79" s="15"/>
      <c r="AH79" s="6"/>
      <c r="AI79" s="6"/>
      <c r="AJ79" s="6"/>
      <c r="AK79" s="16"/>
      <c r="AL79" s="16"/>
      <c r="AM79" s="4"/>
    </row>
    <row r="80" spans="1:39" ht="22" customHeight="1">
      <c r="A80" s="14"/>
      <c r="B80" s="3"/>
      <c r="C80" s="3"/>
      <c r="D80" s="3"/>
      <c r="E80" s="8"/>
      <c r="F80" s="8"/>
      <c r="G80" s="1"/>
      <c r="H80" s="1"/>
      <c r="I80" s="14"/>
      <c r="J80" s="3"/>
      <c r="K80" s="3"/>
      <c r="L80" s="3"/>
      <c r="M80" s="16"/>
      <c r="N80" s="16"/>
      <c r="O80" s="4"/>
      <c r="P80" s="4"/>
      <c r="Q80" s="15"/>
      <c r="R80" s="6"/>
      <c r="S80" s="6"/>
      <c r="T80" s="6"/>
      <c r="U80" s="16"/>
      <c r="V80" s="16"/>
      <c r="W80" s="4"/>
      <c r="X80" s="4"/>
      <c r="Y80" s="15"/>
      <c r="Z80" s="6"/>
      <c r="AA80" s="6"/>
      <c r="AB80" s="6"/>
      <c r="AC80" s="16"/>
      <c r="AD80" s="16"/>
      <c r="AE80" s="4"/>
      <c r="AF80" s="4"/>
      <c r="AG80" s="15"/>
      <c r="AH80" s="6"/>
      <c r="AI80" s="6"/>
      <c r="AJ80" s="6"/>
      <c r="AK80" s="16"/>
      <c r="AL80" s="16"/>
      <c r="AM80" s="4"/>
    </row>
    <row r="81" spans="1:39" ht="22" customHeight="1">
      <c r="A81" s="14"/>
      <c r="B81" s="3"/>
      <c r="C81" s="3"/>
      <c r="D81" s="3"/>
      <c r="E81" s="8"/>
      <c r="F81" s="8"/>
      <c r="G81" s="1"/>
      <c r="H81" s="1"/>
      <c r="I81" s="14"/>
      <c r="J81" s="3"/>
      <c r="K81" s="3"/>
      <c r="L81" s="3"/>
      <c r="M81" s="16"/>
      <c r="N81" s="16"/>
      <c r="O81" s="4"/>
      <c r="P81" s="4"/>
      <c r="Q81" s="15"/>
      <c r="R81" s="6"/>
      <c r="S81" s="6"/>
      <c r="T81" s="6"/>
      <c r="U81" s="16"/>
      <c r="V81" s="16"/>
      <c r="W81" s="4"/>
      <c r="X81" s="4"/>
      <c r="Y81" s="15"/>
      <c r="Z81" s="6"/>
      <c r="AA81" s="6"/>
      <c r="AB81" s="6"/>
      <c r="AC81" s="16"/>
      <c r="AD81" s="16"/>
      <c r="AE81" s="4"/>
      <c r="AF81" s="4"/>
      <c r="AG81" s="15"/>
      <c r="AH81" s="6"/>
      <c r="AI81" s="6"/>
      <c r="AJ81" s="6"/>
      <c r="AK81" s="16"/>
      <c r="AL81" s="16"/>
      <c r="AM81" s="4"/>
    </row>
    <row r="82" spans="1:39" ht="22" customHeight="1">
      <c r="A82" s="14"/>
      <c r="B82" s="3"/>
      <c r="C82" s="3"/>
      <c r="D82" s="3"/>
      <c r="E82" s="8"/>
      <c r="F82" s="8"/>
      <c r="G82" s="1"/>
      <c r="H82" s="1"/>
      <c r="I82" s="14"/>
      <c r="J82" s="3"/>
      <c r="K82" s="3"/>
      <c r="L82" s="3"/>
      <c r="M82" s="16"/>
      <c r="N82" s="16"/>
      <c r="O82" s="4"/>
      <c r="P82" s="4"/>
      <c r="Q82" s="15"/>
      <c r="R82" s="6"/>
      <c r="S82" s="6"/>
      <c r="T82" s="6"/>
      <c r="U82" s="16"/>
      <c r="V82" s="16"/>
      <c r="W82" s="4"/>
      <c r="X82" s="4"/>
      <c r="Y82" s="15"/>
      <c r="Z82" s="6"/>
      <c r="AA82" s="6"/>
      <c r="AB82" s="6"/>
      <c r="AC82" s="16"/>
      <c r="AD82" s="16"/>
      <c r="AE82" s="4"/>
      <c r="AF82" s="4"/>
      <c r="AG82" s="15"/>
      <c r="AH82" s="6"/>
      <c r="AI82" s="6"/>
      <c r="AJ82" s="6"/>
      <c r="AK82" s="16"/>
      <c r="AL82" s="16"/>
      <c r="AM82" s="4"/>
    </row>
    <row r="83" spans="1:39" ht="22" customHeight="1">
      <c r="A83" s="14"/>
      <c r="B83" s="3"/>
      <c r="C83" s="3"/>
      <c r="D83" s="3"/>
      <c r="E83" s="8"/>
      <c r="F83" s="8"/>
      <c r="G83" s="1"/>
      <c r="H83" s="1"/>
      <c r="I83" s="14"/>
      <c r="J83" s="3"/>
      <c r="K83" s="3"/>
      <c r="L83" s="3"/>
      <c r="M83" s="16"/>
      <c r="N83" s="16"/>
      <c r="O83" s="4"/>
      <c r="P83" s="4"/>
      <c r="Q83" s="15"/>
      <c r="R83" s="6"/>
      <c r="S83" s="6"/>
      <c r="T83" s="6"/>
      <c r="U83" s="16"/>
      <c r="V83" s="16"/>
      <c r="W83" s="4"/>
      <c r="X83" s="4"/>
      <c r="Y83" s="15"/>
      <c r="Z83" s="6"/>
      <c r="AA83" s="6"/>
      <c r="AB83" s="6"/>
      <c r="AC83" s="16"/>
      <c r="AD83" s="16"/>
      <c r="AE83" s="4"/>
      <c r="AF83" s="4"/>
      <c r="AG83" s="15"/>
      <c r="AH83" s="6"/>
      <c r="AI83" s="6"/>
      <c r="AJ83" s="6"/>
      <c r="AK83" s="16"/>
      <c r="AL83" s="16"/>
      <c r="AM83" s="4"/>
    </row>
    <row r="84" spans="1:39" ht="22" customHeight="1">
      <c r="A84" s="14"/>
      <c r="B84" s="3"/>
      <c r="C84" s="3"/>
      <c r="D84" s="3"/>
      <c r="E84" s="8"/>
      <c r="F84" s="8"/>
      <c r="G84" s="1"/>
      <c r="H84" s="1"/>
      <c r="I84" s="14"/>
      <c r="J84" s="3"/>
      <c r="K84" s="3"/>
      <c r="L84" s="3"/>
      <c r="M84" s="16"/>
      <c r="N84" s="16"/>
      <c r="O84" s="4"/>
      <c r="P84" s="4"/>
      <c r="Q84" s="15"/>
      <c r="R84" s="6"/>
      <c r="S84" s="6"/>
      <c r="T84" s="6"/>
      <c r="U84" s="16"/>
      <c r="V84" s="16"/>
      <c r="W84" s="4"/>
      <c r="X84" s="4"/>
      <c r="Y84" s="15"/>
      <c r="Z84" s="6"/>
      <c r="AA84" s="6"/>
      <c r="AB84" s="6"/>
      <c r="AC84" s="16"/>
      <c r="AD84" s="16"/>
      <c r="AE84" s="4"/>
      <c r="AF84" s="4"/>
      <c r="AG84" s="15"/>
      <c r="AH84" s="6"/>
      <c r="AI84" s="6"/>
      <c r="AJ84" s="6"/>
      <c r="AK84" s="16"/>
      <c r="AL84" s="16"/>
      <c r="AM84" s="4"/>
    </row>
    <row r="85" spans="1:39" ht="22" customHeight="1">
      <c r="A85" s="14"/>
      <c r="B85" s="3"/>
      <c r="C85" s="3"/>
      <c r="D85" s="3"/>
      <c r="E85" s="8"/>
      <c r="F85" s="8"/>
      <c r="G85" s="1"/>
      <c r="H85" s="1"/>
      <c r="I85" s="14"/>
      <c r="J85" s="3"/>
      <c r="K85" s="3"/>
      <c r="L85" s="3"/>
      <c r="M85" s="16"/>
      <c r="N85" s="16"/>
      <c r="O85" s="4"/>
      <c r="P85" s="4"/>
      <c r="Q85" s="15"/>
      <c r="R85" s="6"/>
      <c r="S85" s="6"/>
      <c r="T85" s="6"/>
      <c r="U85" s="16"/>
      <c r="V85" s="16"/>
      <c r="W85" s="4"/>
      <c r="X85" s="4"/>
      <c r="Y85" s="15"/>
      <c r="Z85" s="6"/>
      <c r="AA85" s="6"/>
      <c r="AB85" s="6"/>
      <c r="AC85" s="16"/>
      <c r="AD85" s="16"/>
      <c r="AE85" s="4"/>
      <c r="AF85" s="4"/>
      <c r="AG85" s="15"/>
      <c r="AH85" s="6"/>
      <c r="AI85" s="6"/>
      <c r="AJ85" s="6"/>
      <c r="AK85" s="16"/>
      <c r="AL85" s="16"/>
      <c r="AM85" s="4"/>
    </row>
    <row r="86" spans="1:39" ht="22" customHeight="1">
      <c r="A86" s="14"/>
      <c r="B86" s="3"/>
      <c r="C86" s="3"/>
      <c r="D86" s="3"/>
      <c r="E86" s="8"/>
      <c r="F86" s="8"/>
      <c r="G86" s="1"/>
      <c r="H86" s="1"/>
      <c r="I86" s="14"/>
      <c r="J86" s="3"/>
      <c r="K86" s="3"/>
      <c r="L86" s="3"/>
      <c r="M86" s="16"/>
      <c r="N86" s="16"/>
      <c r="O86" s="4"/>
      <c r="P86" s="4"/>
      <c r="Q86" s="15"/>
      <c r="R86" s="6"/>
      <c r="S86" s="6"/>
      <c r="T86" s="6"/>
      <c r="U86" s="16"/>
      <c r="V86" s="16"/>
      <c r="W86" s="4"/>
      <c r="X86" s="4"/>
      <c r="Y86" s="15"/>
      <c r="Z86" s="6"/>
      <c r="AA86" s="6"/>
      <c r="AB86" s="6"/>
      <c r="AC86" s="16"/>
      <c r="AD86" s="16"/>
      <c r="AE86" s="4"/>
      <c r="AF86" s="4"/>
      <c r="AG86" s="15"/>
      <c r="AH86" s="6"/>
      <c r="AI86" s="6"/>
      <c r="AJ86" s="6"/>
      <c r="AK86" s="16"/>
      <c r="AL86" s="16"/>
      <c r="AM86" s="4"/>
    </row>
    <row r="87" spans="1:39" ht="22" customHeight="1">
      <c r="A87" s="14"/>
      <c r="B87" s="3"/>
      <c r="C87" s="3"/>
      <c r="D87" s="3"/>
      <c r="E87" s="8"/>
      <c r="F87" s="8"/>
      <c r="G87" s="1"/>
      <c r="H87" s="1"/>
      <c r="I87" s="14"/>
      <c r="J87" s="3"/>
      <c r="K87" s="3"/>
      <c r="L87" s="3"/>
      <c r="M87" s="16"/>
      <c r="N87" s="16"/>
      <c r="O87" s="4"/>
      <c r="P87" s="4"/>
      <c r="Q87" s="15"/>
      <c r="R87" s="6"/>
      <c r="S87" s="6"/>
      <c r="T87" s="6"/>
      <c r="U87" s="16"/>
      <c r="V87" s="16"/>
      <c r="W87" s="4"/>
      <c r="X87" s="4"/>
      <c r="Y87" s="15"/>
      <c r="Z87" s="6"/>
      <c r="AA87" s="6"/>
      <c r="AB87" s="6"/>
      <c r="AC87" s="16"/>
      <c r="AD87" s="16"/>
      <c r="AE87" s="4"/>
      <c r="AF87" s="4"/>
      <c r="AG87" s="15"/>
      <c r="AH87" s="6"/>
      <c r="AI87" s="6"/>
      <c r="AJ87" s="6"/>
      <c r="AK87" s="16"/>
      <c r="AL87" s="16"/>
      <c r="AM87" s="4"/>
    </row>
    <row r="88" spans="1:39" ht="22" customHeight="1">
      <c r="A88" s="14"/>
      <c r="B88" s="3"/>
      <c r="C88" s="3"/>
      <c r="D88" s="3"/>
      <c r="E88" s="8"/>
      <c r="F88" s="8"/>
      <c r="G88" s="1"/>
      <c r="H88" s="1"/>
      <c r="I88" s="14"/>
      <c r="J88" s="3"/>
      <c r="K88" s="3"/>
      <c r="L88" s="3"/>
      <c r="M88" s="16"/>
      <c r="N88" s="16"/>
      <c r="O88" s="4"/>
      <c r="P88" s="4"/>
      <c r="Q88" s="15"/>
      <c r="R88" s="6"/>
      <c r="S88" s="6"/>
      <c r="T88" s="6"/>
      <c r="U88" s="16"/>
      <c r="V88" s="16"/>
      <c r="W88" s="4"/>
      <c r="X88" s="4"/>
      <c r="Y88" s="15"/>
      <c r="Z88" s="6"/>
      <c r="AA88" s="6"/>
      <c r="AB88" s="6"/>
      <c r="AC88" s="16"/>
      <c r="AD88" s="16"/>
      <c r="AE88" s="4"/>
      <c r="AF88" s="4"/>
      <c r="AG88" s="15"/>
      <c r="AH88" s="6"/>
      <c r="AI88" s="6"/>
      <c r="AJ88" s="6"/>
      <c r="AK88" s="16"/>
      <c r="AL88" s="16"/>
      <c r="AM88" s="4"/>
    </row>
    <row r="89" spans="1:39" ht="22" customHeight="1">
      <c r="A89" s="14"/>
      <c r="B89" s="3"/>
      <c r="C89" s="3"/>
      <c r="D89" s="3"/>
      <c r="E89" s="8"/>
      <c r="F89" s="8"/>
      <c r="G89" s="1"/>
      <c r="H89" s="1"/>
      <c r="I89" s="14"/>
      <c r="J89" s="3"/>
      <c r="K89" s="3"/>
      <c r="L89" s="3"/>
      <c r="M89" s="16"/>
      <c r="N89" s="16"/>
      <c r="O89" s="4"/>
      <c r="P89" s="4"/>
      <c r="Q89" s="15"/>
      <c r="R89" s="6"/>
      <c r="S89" s="6"/>
      <c r="T89" s="6"/>
      <c r="U89" s="16"/>
      <c r="V89" s="16"/>
      <c r="W89" s="4"/>
      <c r="X89" s="4"/>
      <c r="Y89" s="15"/>
      <c r="Z89" s="6"/>
      <c r="AA89" s="6"/>
      <c r="AB89" s="6"/>
      <c r="AC89" s="16"/>
      <c r="AD89" s="16"/>
      <c r="AE89" s="4"/>
      <c r="AF89" s="4"/>
      <c r="AG89" s="15"/>
      <c r="AH89" s="6"/>
      <c r="AI89" s="6"/>
      <c r="AJ89" s="6"/>
      <c r="AK89" s="16"/>
      <c r="AL89" s="16"/>
      <c r="AM89" s="4"/>
    </row>
    <row r="90" spans="1:39" ht="22" customHeight="1">
      <c r="A90" s="14"/>
      <c r="B90" s="3"/>
      <c r="C90" s="3"/>
      <c r="D90" s="3"/>
      <c r="E90" s="8"/>
      <c r="F90" s="8"/>
      <c r="G90" s="1"/>
      <c r="H90" s="1"/>
      <c r="I90" s="14"/>
      <c r="J90" s="3"/>
      <c r="K90" s="3"/>
      <c r="L90" s="3"/>
      <c r="M90" s="16"/>
      <c r="N90" s="16"/>
      <c r="O90" s="4"/>
      <c r="P90" s="4"/>
      <c r="Q90" s="15"/>
      <c r="R90" s="6"/>
      <c r="S90" s="6"/>
      <c r="T90" s="6"/>
      <c r="U90" s="16"/>
      <c r="V90" s="16"/>
      <c r="W90" s="4"/>
      <c r="X90" s="4"/>
      <c r="Y90" s="15"/>
      <c r="Z90" s="6"/>
      <c r="AA90" s="6"/>
      <c r="AB90" s="6"/>
      <c r="AC90" s="16"/>
      <c r="AD90" s="16"/>
      <c r="AE90" s="4"/>
      <c r="AF90" s="4"/>
      <c r="AG90" s="15"/>
      <c r="AH90" s="6"/>
      <c r="AI90" s="6"/>
      <c r="AJ90" s="6"/>
      <c r="AK90" s="16"/>
      <c r="AL90" s="16"/>
      <c r="AM90" s="4"/>
    </row>
    <row r="91" spans="1:39" ht="22" customHeight="1">
      <c r="A91" s="14"/>
      <c r="B91" s="3"/>
      <c r="C91" s="3"/>
      <c r="D91" s="3"/>
      <c r="E91" s="8"/>
      <c r="F91" s="8"/>
      <c r="G91" s="1"/>
      <c r="H91" s="1"/>
      <c r="I91" s="14"/>
      <c r="J91" s="3"/>
      <c r="K91" s="3"/>
      <c r="L91" s="3"/>
      <c r="M91" s="16"/>
      <c r="N91" s="16"/>
      <c r="O91" s="4"/>
      <c r="P91" s="4"/>
      <c r="Q91" s="15"/>
      <c r="R91" s="6"/>
      <c r="S91" s="6"/>
      <c r="T91" s="6"/>
      <c r="U91" s="16"/>
      <c r="V91" s="16"/>
      <c r="W91" s="4"/>
      <c r="X91" s="4"/>
      <c r="Y91" s="15"/>
      <c r="Z91" s="6"/>
      <c r="AA91" s="6"/>
      <c r="AB91" s="6"/>
      <c r="AC91" s="16"/>
      <c r="AD91" s="16"/>
      <c r="AE91" s="4"/>
      <c r="AF91" s="4"/>
      <c r="AG91" s="15"/>
      <c r="AH91" s="6"/>
      <c r="AI91" s="6"/>
      <c r="AJ91" s="6"/>
      <c r="AK91" s="16"/>
      <c r="AL91" s="16"/>
      <c r="AM91" s="4"/>
    </row>
    <row r="92" spans="1:39" ht="22" customHeight="1">
      <c r="A92" s="14"/>
      <c r="B92" s="3"/>
      <c r="C92" s="3"/>
      <c r="D92" s="3"/>
      <c r="E92" s="8"/>
      <c r="F92" s="8"/>
      <c r="G92" s="1"/>
      <c r="H92" s="1"/>
      <c r="I92" s="14"/>
      <c r="J92" s="3"/>
      <c r="K92" s="3"/>
      <c r="L92" s="3"/>
      <c r="M92" s="16"/>
      <c r="N92" s="16"/>
      <c r="O92" s="4"/>
      <c r="P92" s="4"/>
      <c r="Q92" s="15"/>
      <c r="R92" s="6"/>
      <c r="S92" s="6"/>
      <c r="T92" s="6"/>
      <c r="U92" s="16"/>
      <c r="V92" s="16"/>
      <c r="W92" s="4"/>
      <c r="X92" s="4"/>
      <c r="Y92" s="15"/>
      <c r="Z92" s="6"/>
      <c r="AA92" s="6"/>
      <c r="AB92" s="6"/>
      <c r="AC92" s="16"/>
      <c r="AD92" s="16"/>
      <c r="AE92" s="4"/>
      <c r="AF92" s="4"/>
      <c r="AG92" s="15"/>
      <c r="AH92" s="6"/>
      <c r="AI92" s="6"/>
      <c r="AJ92" s="6"/>
      <c r="AK92" s="16"/>
      <c r="AL92" s="16"/>
      <c r="AM92" s="4"/>
    </row>
    <row r="93" spans="1:39" ht="22" customHeight="1">
      <c r="A93" s="14"/>
      <c r="B93" s="3"/>
      <c r="C93" s="3"/>
      <c r="D93" s="3"/>
      <c r="E93" s="8"/>
      <c r="F93" s="8"/>
      <c r="G93" s="1"/>
      <c r="H93" s="1"/>
      <c r="I93" s="14"/>
      <c r="J93" s="3"/>
      <c r="K93" s="3"/>
      <c r="L93" s="3"/>
      <c r="M93" s="16"/>
      <c r="N93" s="16"/>
      <c r="O93" s="4"/>
      <c r="P93" s="4"/>
      <c r="Q93" s="15"/>
      <c r="R93" s="6"/>
      <c r="S93" s="6"/>
      <c r="T93" s="6"/>
      <c r="U93" s="16"/>
      <c r="V93" s="16"/>
      <c r="W93" s="4"/>
      <c r="X93" s="4"/>
      <c r="Y93" s="15"/>
      <c r="Z93" s="6"/>
      <c r="AA93" s="6"/>
      <c r="AB93" s="6"/>
      <c r="AC93" s="16"/>
      <c r="AD93" s="16"/>
      <c r="AE93" s="4"/>
      <c r="AF93" s="4"/>
      <c r="AG93" s="15"/>
      <c r="AH93" s="6"/>
      <c r="AI93" s="6"/>
      <c r="AJ93" s="6"/>
      <c r="AK93" s="16"/>
      <c r="AL93" s="16"/>
      <c r="AM93" s="4"/>
    </row>
    <row r="94" spans="1:39" ht="22" customHeight="1">
      <c r="A94" s="14"/>
      <c r="B94" s="3"/>
      <c r="C94" s="3"/>
      <c r="D94" s="3"/>
      <c r="E94" s="8"/>
      <c r="F94" s="8"/>
      <c r="G94" s="1"/>
      <c r="H94" s="1"/>
      <c r="I94" s="14"/>
      <c r="J94" s="3"/>
      <c r="K94" s="3"/>
      <c r="L94" s="3"/>
      <c r="M94" s="16"/>
      <c r="N94" s="16"/>
      <c r="O94" s="4"/>
      <c r="P94" s="4"/>
      <c r="Q94" s="15"/>
      <c r="R94" s="6"/>
      <c r="S94" s="6"/>
      <c r="T94" s="6"/>
      <c r="U94" s="16"/>
      <c r="V94" s="16"/>
      <c r="W94" s="4"/>
      <c r="X94" s="4"/>
      <c r="Y94" s="15"/>
      <c r="Z94" s="6"/>
      <c r="AA94" s="6"/>
      <c r="AB94" s="6"/>
      <c r="AC94" s="16"/>
      <c r="AD94" s="16"/>
      <c r="AE94" s="4"/>
      <c r="AF94" s="4"/>
      <c r="AG94" s="15"/>
      <c r="AH94" s="6"/>
      <c r="AI94" s="6"/>
      <c r="AJ94" s="6"/>
      <c r="AK94" s="16"/>
      <c r="AL94" s="16"/>
      <c r="AM94" s="4"/>
    </row>
    <row r="95" spans="1:39" ht="22" customHeight="1">
      <c r="A95" s="14"/>
      <c r="B95" s="3"/>
      <c r="C95" s="3"/>
      <c r="D95" s="3"/>
      <c r="E95" s="8"/>
      <c r="F95" s="8"/>
      <c r="G95" s="1"/>
      <c r="H95" s="1"/>
      <c r="I95" s="14"/>
      <c r="J95" s="3"/>
      <c r="K95" s="3"/>
      <c r="L95" s="3"/>
      <c r="M95" s="16"/>
      <c r="N95" s="16"/>
      <c r="O95" s="4"/>
      <c r="P95" s="4"/>
      <c r="Q95" s="15"/>
      <c r="R95" s="6"/>
      <c r="S95" s="6"/>
      <c r="T95" s="6"/>
      <c r="U95" s="16"/>
      <c r="V95" s="16"/>
      <c r="W95" s="4"/>
      <c r="X95" s="4"/>
      <c r="Y95" s="15"/>
      <c r="Z95" s="6"/>
      <c r="AA95" s="6"/>
      <c r="AB95" s="6"/>
      <c r="AC95" s="16"/>
      <c r="AD95" s="16"/>
      <c r="AE95" s="4"/>
      <c r="AF95" s="4"/>
      <c r="AG95" s="15"/>
      <c r="AH95" s="6"/>
      <c r="AI95" s="6"/>
      <c r="AJ95" s="6"/>
      <c r="AK95" s="16"/>
      <c r="AL95" s="16"/>
      <c r="AM95" s="4"/>
    </row>
    <row r="96" spans="1:39" ht="22" customHeight="1">
      <c r="A96" s="14"/>
      <c r="B96" s="3"/>
      <c r="C96" s="3"/>
      <c r="D96" s="3"/>
      <c r="E96" s="8"/>
      <c r="F96" s="8"/>
      <c r="G96" s="1"/>
      <c r="H96" s="1"/>
      <c r="I96" s="14"/>
      <c r="J96" s="3"/>
      <c r="K96" s="3"/>
      <c r="L96" s="3"/>
      <c r="M96" s="16"/>
      <c r="N96" s="16"/>
      <c r="O96" s="4"/>
      <c r="P96" s="4"/>
      <c r="Q96" s="15"/>
      <c r="R96" s="6"/>
      <c r="S96" s="6"/>
      <c r="T96" s="6"/>
      <c r="U96" s="16"/>
      <c r="V96" s="16"/>
      <c r="W96" s="4"/>
      <c r="X96" s="4"/>
      <c r="Y96" s="15"/>
      <c r="Z96" s="6"/>
      <c r="AA96" s="6"/>
      <c r="AB96" s="6"/>
      <c r="AC96" s="16"/>
      <c r="AD96" s="16"/>
      <c r="AE96" s="4"/>
      <c r="AF96" s="4"/>
      <c r="AG96" s="15"/>
      <c r="AH96" s="6"/>
      <c r="AI96" s="6"/>
      <c r="AJ96" s="6"/>
      <c r="AK96" s="16"/>
      <c r="AL96" s="16"/>
      <c r="AM96" s="4"/>
    </row>
    <row r="97" spans="1:39" ht="22" customHeight="1">
      <c r="A97" s="14"/>
      <c r="B97" s="3"/>
      <c r="C97" s="3"/>
      <c r="D97" s="3"/>
      <c r="E97" s="8"/>
      <c r="F97" s="8"/>
      <c r="G97" s="1"/>
      <c r="H97" s="1"/>
      <c r="I97" s="14"/>
      <c r="J97" s="3"/>
      <c r="K97" s="3"/>
      <c r="L97" s="3"/>
      <c r="M97" s="16"/>
      <c r="N97" s="16"/>
      <c r="O97" s="4"/>
      <c r="P97" s="4"/>
      <c r="Q97" s="15"/>
      <c r="R97" s="6"/>
      <c r="S97" s="6"/>
      <c r="T97" s="6"/>
      <c r="U97" s="16"/>
      <c r="V97" s="16"/>
      <c r="W97" s="4"/>
      <c r="X97" s="4"/>
      <c r="Y97" s="15"/>
      <c r="Z97" s="6"/>
      <c r="AA97" s="6"/>
      <c r="AB97" s="6"/>
      <c r="AC97" s="16"/>
      <c r="AD97" s="16"/>
      <c r="AE97" s="4"/>
      <c r="AF97" s="4"/>
      <c r="AG97" s="15"/>
      <c r="AH97" s="6"/>
      <c r="AI97" s="6"/>
      <c r="AJ97" s="6"/>
      <c r="AK97" s="16"/>
      <c r="AL97" s="16"/>
      <c r="AM97" s="4"/>
    </row>
    <row r="98" spans="1:39" ht="22" customHeight="1">
      <c r="A98" s="14"/>
      <c r="B98" s="3"/>
      <c r="C98" s="3"/>
      <c r="D98" s="3"/>
      <c r="E98" s="8"/>
      <c r="F98" s="8"/>
      <c r="G98" s="1"/>
      <c r="H98" s="1"/>
      <c r="I98" s="14"/>
      <c r="J98" s="3"/>
      <c r="K98" s="3"/>
      <c r="L98" s="3"/>
      <c r="M98" s="16"/>
      <c r="N98" s="16"/>
      <c r="O98" s="4"/>
      <c r="P98" s="4"/>
      <c r="Q98" s="15"/>
      <c r="R98" s="6"/>
      <c r="S98" s="6"/>
      <c r="T98" s="6"/>
      <c r="U98" s="16"/>
      <c r="V98" s="16"/>
      <c r="W98" s="4"/>
      <c r="X98" s="4"/>
      <c r="Y98" s="15"/>
      <c r="Z98" s="6"/>
      <c r="AA98" s="6"/>
      <c r="AB98" s="6"/>
      <c r="AC98" s="16"/>
      <c r="AD98" s="16"/>
      <c r="AE98" s="4"/>
      <c r="AF98" s="4"/>
      <c r="AG98" s="15"/>
      <c r="AH98" s="6"/>
      <c r="AI98" s="6"/>
      <c r="AJ98" s="6"/>
      <c r="AK98" s="16"/>
      <c r="AL98" s="16"/>
      <c r="AM98" s="4"/>
    </row>
    <row r="99" spans="1:39" ht="22" customHeight="1">
      <c r="A99" s="14"/>
      <c r="B99" s="3"/>
      <c r="C99" s="3"/>
      <c r="D99" s="3"/>
      <c r="E99" s="8"/>
      <c r="F99" s="8"/>
      <c r="G99" s="1"/>
      <c r="H99" s="1"/>
      <c r="I99" s="14"/>
      <c r="J99" s="3"/>
      <c r="K99" s="3"/>
      <c r="L99" s="3"/>
      <c r="M99" s="16"/>
      <c r="N99" s="16"/>
      <c r="O99" s="4"/>
      <c r="P99" s="4"/>
      <c r="Q99" s="15"/>
      <c r="R99" s="6"/>
      <c r="S99" s="6"/>
      <c r="T99" s="6"/>
      <c r="U99" s="16"/>
      <c r="V99" s="16"/>
      <c r="W99" s="4"/>
      <c r="X99" s="4"/>
      <c r="Y99" s="15"/>
      <c r="Z99" s="6"/>
      <c r="AA99" s="6"/>
      <c r="AB99" s="6"/>
      <c r="AC99" s="16"/>
      <c r="AD99" s="16"/>
      <c r="AE99" s="4"/>
      <c r="AF99" s="4"/>
      <c r="AG99" s="15"/>
      <c r="AH99" s="6"/>
      <c r="AI99" s="6"/>
      <c r="AJ99" s="6"/>
      <c r="AK99" s="16"/>
      <c r="AL99" s="16"/>
      <c r="AM99" s="4"/>
    </row>
    <row r="100" spans="1:39" ht="22" customHeight="1">
      <c r="A100" s="14"/>
      <c r="B100" s="3"/>
      <c r="C100" s="3"/>
      <c r="D100" s="3"/>
      <c r="E100" s="8"/>
      <c r="F100" s="8"/>
      <c r="G100" s="1"/>
      <c r="H100" s="1"/>
      <c r="I100" s="14"/>
      <c r="J100" s="3"/>
      <c r="K100" s="3"/>
      <c r="L100" s="3"/>
      <c r="M100" s="16"/>
      <c r="N100" s="16"/>
      <c r="O100" s="4"/>
      <c r="P100" s="4"/>
      <c r="Q100" s="15"/>
      <c r="R100" s="6"/>
      <c r="S100" s="6"/>
      <c r="T100" s="6"/>
      <c r="U100" s="16"/>
      <c r="V100" s="16"/>
      <c r="W100" s="4"/>
      <c r="X100" s="4"/>
      <c r="Y100" s="15"/>
      <c r="Z100" s="6"/>
      <c r="AA100" s="6"/>
      <c r="AB100" s="6"/>
      <c r="AC100" s="16"/>
      <c r="AD100" s="16"/>
      <c r="AE100" s="4"/>
      <c r="AF100" s="4"/>
      <c r="AG100" s="15"/>
      <c r="AH100" s="6"/>
      <c r="AI100" s="6"/>
      <c r="AJ100" s="6"/>
      <c r="AK100" s="16"/>
      <c r="AL100" s="16"/>
      <c r="AM100" s="4"/>
    </row>
    <row r="101" spans="1:39" ht="22" customHeight="1">
      <c r="A101" s="14"/>
      <c r="B101" s="3"/>
      <c r="C101" s="3"/>
      <c r="D101" s="3"/>
      <c r="E101" s="8"/>
      <c r="F101" s="8"/>
      <c r="G101" s="1"/>
      <c r="H101" s="1"/>
      <c r="I101" s="14"/>
      <c r="J101" s="3"/>
      <c r="K101" s="3"/>
      <c r="L101" s="3"/>
      <c r="M101" s="16"/>
      <c r="N101" s="16"/>
      <c r="O101" s="4"/>
      <c r="P101" s="4"/>
      <c r="Q101" s="15"/>
      <c r="R101" s="6"/>
      <c r="S101" s="6"/>
      <c r="T101" s="6"/>
      <c r="U101" s="16"/>
      <c r="V101" s="16"/>
      <c r="W101" s="4"/>
      <c r="X101" s="4"/>
      <c r="Y101" s="15"/>
      <c r="Z101" s="6"/>
      <c r="AA101" s="6"/>
      <c r="AB101" s="6"/>
      <c r="AC101" s="16"/>
      <c r="AD101" s="16"/>
      <c r="AE101" s="4"/>
      <c r="AF101" s="4"/>
      <c r="AG101" s="15"/>
      <c r="AH101" s="6"/>
      <c r="AI101" s="6"/>
      <c r="AJ101" s="6"/>
      <c r="AK101" s="16"/>
      <c r="AL101" s="16"/>
      <c r="AM101" s="4"/>
    </row>
    <row r="102" spans="1:39" ht="22" customHeight="1">
      <c r="A102" s="14"/>
      <c r="B102" s="3"/>
      <c r="C102" s="3"/>
      <c r="D102" s="3"/>
      <c r="E102" s="8"/>
      <c r="F102" s="8"/>
      <c r="G102" s="1"/>
      <c r="H102" s="1"/>
      <c r="I102" s="14"/>
      <c r="J102" s="3"/>
      <c r="K102" s="3"/>
      <c r="L102" s="3"/>
      <c r="M102" s="16"/>
      <c r="N102" s="16"/>
      <c r="O102" s="4"/>
      <c r="P102" s="4"/>
      <c r="Q102" s="15"/>
      <c r="R102" s="6"/>
      <c r="S102" s="6"/>
      <c r="T102" s="6"/>
      <c r="U102" s="16"/>
      <c r="V102" s="16"/>
      <c r="W102" s="4"/>
      <c r="X102" s="4"/>
      <c r="Y102" s="15"/>
      <c r="Z102" s="6"/>
      <c r="AA102" s="6"/>
      <c r="AB102" s="6"/>
      <c r="AC102" s="16"/>
      <c r="AD102" s="16"/>
      <c r="AE102" s="4"/>
      <c r="AF102" s="4"/>
      <c r="AG102" s="15"/>
      <c r="AH102" s="6"/>
      <c r="AI102" s="6"/>
      <c r="AJ102" s="6"/>
      <c r="AK102" s="16"/>
      <c r="AL102" s="16"/>
      <c r="AM102" s="4"/>
    </row>
    <row r="103" spans="1:39" ht="22" customHeight="1">
      <c r="A103" s="14"/>
      <c r="B103" s="3"/>
      <c r="C103" s="3"/>
      <c r="D103" s="3"/>
      <c r="E103" s="8"/>
      <c r="F103" s="8"/>
      <c r="G103" s="1"/>
      <c r="H103" s="1"/>
      <c r="I103" s="14"/>
      <c r="J103" s="3"/>
      <c r="K103" s="3"/>
      <c r="L103" s="3"/>
      <c r="M103" s="16"/>
      <c r="N103" s="16"/>
      <c r="O103" s="4"/>
      <c r="P103" s="4"/>
      <c r="Q103" s="15"/>
      <c r="R103" s="6"/>
      <c r="S103" s="6"/>
      <c r="T103" s="6"/>
      <c r="U103" s="16"/>
      <c r="V103" s="16"/>
      <c r="W103" s="4"/>
      <c r="X103" s="4"/>
      <c r="Y103" s="15"/>
      <c r="Z103" s="6"/>
      <c r="AA103" s="6"/>
      <c r="AB103" s="6"/>
      <c r="AC103" s="16"/>
      <c r="AD103" s="16"/>
      <c r="AE103" s="4"/>
      <c r="AF103" s="4"/>
      <c r="AG103" s="15"/>
      <c r="AH103" s="6"/>
      <c r="AI103" s="6"/>
      <c r="AJ103" s="6"/>
      <c r="AK103" s="16"/>
      <c r="AL103" s="16"/>
      <c r="AM103" s="4"/>
    </row>
    <row r="104" spans="1:39" ht="22" customHeight="1">
      <c r="A104" s="14"/>
      <c r="B104" s="3"/>
      <c r="C104" s="3"/>
      <c r="D104" s="3"/>
      <c r="E104" s="8"/>
      <c r="F104" s="8"/>
      <c r="G104" s="1"/>
      <c r="H104" s="1"/>
      <c r="I104" s="14"/>
      <c r="J104" s="3"/>
      <c r="K104" s="3"/>
      <c r="L104" s="3"/>
      <c r="M104" s="16"/>
      <c r="N104" s="16"/>
      <c r="O104" s="4"/>
      <c r="P104" s="4"/>
      <c r="Q104" s="15"/>
      <c r="R104" s="6"/>
      <c r="S104" s="6"/>
      <c r="T104" s="6"/>
      <c r="U104" s="16"/>
      <c r="V104" s="16"/>
      <c r="W104" s="4"/>
      <c r="X104" s="4"/>
      <c r="Y104" s="15"/>
      <c r="Z104" s="6"/>
      <c r="AA104" s="6"/>
      <c r="AB104" s="6"/>
      <c r="AC104" s="16"/>
      <c r="AD104" s="16"/>
      <c r="AE104" s="4"/>
      <c r="AF104" s="4"/>
      <c r="AG104" s="15"/>
      <c r="AH104" s="6"/>
      <c r="AI104" s="6"/>
      <c r="AJ104" s="6"/>
      <c r="AK104" s="16"/>
      <c r="AL104" s="16"/>
      <c r="AM104" s="4"/>
    </row>
    <row r="105" spans="1:39" ht="22" customHeight="1">
      <c r="A105" s="14"/>
      <c r="B105" s="3"/>
      <c r="C105" s="3"/>
      <c r="D105" s="3"/>
      <c r="E105" s="8"/>
      <c r="F105" s="8"/>
      <c r="G105" s="1"/>
      <c r="H105" s="1"/>
      <c r="I105" s="14"/>
      <c r="J105" s="3"/>
      <c r="K105" s="3"/>
      <c r="L105" s="3"/>
      <c r="M105" s="16"/>
      <c r="N105" s="16"/>
      <c r="O105" s="4"/>
      <c r="P105" s="4"/>
      <c r="Q105" s="15"/>
      <c r="R105" s="6"/>
      <c r="S105" s="6"/>
      <c r="T105" s="6"/>
      <c r="U105" s="16"/>
      <c r="V105" s="16"/>
      <c r="W105" s="4"/>
      <c r="X105" s="4"/>
      <c r="Y105" s="15"/>
      <c r="Z105" s="6"/>
      <c r="AA105" s="6"/>
      <c r="AB105" s="6"/>
      <c r="AC105" s="16"/>
      <c r="AD105" s="16"/>
      <c r="AE105" s="4"/>
      <c r="AF105" s="4"/>
      <c r="AG105" s="15"/>
      <c r="AH105" s="6"/>
      <c r="AI105" s="6"/>
      <c r="AJ105" s="6"/>
      <c r="AK105" s="16"/>
      <c r="AL105" s="16"/>
      <c r="AM105" s="4"/>
    </row>
    <row r="106" spans="1:39" ht="22" customHeight="1">
      <c r="A106" s="3"/>
      <c r="B106" s="3"/>
      <c r="C106" s="3"/>
      <c r="D106" s="3"/>
      <c r="E106" s="3"/>
      <c r="F106" s="3"/>
      <c r="G106" s="1"/>
      <c r="H106" s="1"/>
      <c r="I106" s="3"/>
      <c r="J106" s="3"/>
      <c r="K106" s="3"/>
      <c r="L106" s="3"/>
      <c r="M106" s="6"/>
      <c r="N106" s="6"/>
      <c r="O106" s="4"/>
      <c r="P106" s="4"/>
      <c r="Q106" s="6"/>
      <c r="R106" s="6"/>
      <c r="S106" s="6"/>
      <c r="T106" s="6"/>
      <c r="U106" s="6"/>
      <c r="V106" s="6"/>
      <c r="W106" s="4"/>
      <c r="X106" s="4"/>
      <c r="Y106" s="6"/>
      <c r="Z106" s="6"/>
      <c r="AA106" s="6"/>
      <c r="AB106" s="6"/>
      <c r="AC106" s="6"/>
      <c r="AD106" s="6"/>
      <c r="AE106" s="4"/>
      <c r="AF106" s="4"/>
      <c r="AG106" s="6"/>
      <c r="AH106" s="6"/>
      <c r="AI106" s="6"/>
      <c r="AJ106" s="6"/>
      <c r="AK106" s="6"/>
      <c r="AL106" s="6"/>
      <c r="AM106" s="4"/>
    </row>
    <row r="107" spans="1:39" ht="22" customHeight="1">
      <c r="A107" s="3"/>
      <c r="B107" s="3"/>
      <c r="C107" s="3"/>
      <c r="D107" s="3"/>
      <c r="E107" s="3"/>
      <c r="F107" s="3"/>
      <c r="G107" s="1"/>
      <c r="H107" s="1"/>
      <c r="I107" s="3"/>
      <c r="J107" s="3"/>
      <c r="K107" s="3"/>
      <c r="L107" s="3"/>
      <c r="M107" s="6"/>
      <c r="N107" s="6"/>
      <c r="O107" s="4"/>
      <c r="P107" s="4"/>
      <c r="Q107" s="6"/>
      <c r="R107" s="6"/>
      <c r="S107" s="6"/>
      <c r="T107" s="6"/>
      <c r="U107" s="6"/>
      <c r="V107" s="6"/>
      <c r="W107" s="4"/>
      <c r="X107" s="4"/>
      <c r="Y107" s="6"/>
      <c r="Z107" s="6"/>
      <c r="AA107" s="6"/>
      <c r="AB107" s="6"/>
      <c r="AC107" s="6"/>
      <c r="AD107" s="6"/>
      <c r="AE107" s="4"/>
      <c r="AF107" s="4"/>
      <c r="AG107" s="6"/>
      <c r="AH107" s="6"/>
      <c r="AI107" s="6"/>
      <c r="AJ107" s="6"/>
      <c r="AK107" s="6"/>
      <c r="AL107" s="6"/>
      <c r="AM107" s="4"/>
    </row>
    <row r="108" spans="1:39" ht="22" customHeight="1">
      <c r="A108" s="3"/>
      <c r="B108" s="3"/>
      <c r="C108" s="3"/>
      <c r="D108" s="3"/>
      <c r="E108" s="3"/>
      <c r="F108" s="3"/>
      <c r="G108" s="1"/>
      <c r="H108" s="1"/>
      <c r="I108" s="3"/>
      <c r="J108" s="3"/>
      <c r="K108" s="3"/>
      <c r="L108" s="3"/>
      <c r="M108" s="6"/>
      <c r="N108" s="6"/>
      <c r="O108" s="4"/>
      <c r="P108" s="4"/>
      <c r="Q108" s="6"/>
      <c r="R108" s="6"/>
      <c r="S108" s="6"/>
      <c r="T108" s="6"/>
      <c r="U108" s="6"/>
      <c r="V108" s="6"/>
      <c r="W108" s="4"/>
      <c r="X108" s="4"/>
      <c r="Y108" s="6"/>
      <c r="Z108" s="6"/>
      <c r="AA108" s="6"/>
      <c r="AB108" s="6"/>
      <c r="AC108" s="6"/>
      <c r="AD108" s="6"/>
      <c r="AE108" s="4"/>
      <c r="AF108" s="4"/>
      <c r="AG108" s="6"/>
      <c r="AH108" s="6"/>
      <c r="AI108" s="6"/>
      <c r="AJ108" s="6"/>
      <c r="AK108" s="6"/>
      <c r="AL108" s="6"/>
      <c r="AM108" s="4"/>
    </row>
    <row r="109" spans="1:39" ht="22" customHeight="1">
      <c r="A109" s="3"/>
      <c r="B109" s="3"/>
      <c r="C109" s="3"/>
      <c r="D109" s="3"/>
      <c r="E109" s="3"/>
      <c r="F109" s="3"/>
      <c r="G109" s="1"/>
      <c r="H109" s="1"/>
      <c r="I109" s="3"/>
      <c r="J109" s="3"/>
      <c r="K109" s="3"/>
      <c r="L109" s="3"/>
      <c r="M109" s="6"/>
      <c r="N109" s="6"/>
      <c r="O109" s="4"/>
      <c r="P109" s="4"/>
      <c r="Q109" s="6"/>
      <c r="R109" s="6"/>
      <c r="S109" s="6"/>
      <c r="T109" s="6"/>
      <c r="U109" s="6"/>
      <c r="V109" s="6"/>
      <c r="W109" s="4"/>
      <c r="X109" s="4"/>
      <c r="Y109" s="6"/>
      <c r="Z109" s="6"/>
      <c r="AA109" s="6"/>
      <c r="AB109" s="6"/>
      <c r="AC109" s="6"/>
      <c r="AD109" s="6"/>
      <c r="AE109" s="4"/>
      <c r="AF109" s="4"/>
      <c r="AG109" s="6"/>
      <c r="AH109" s="6"/>
      <c r="AI109" s="6"/>
      <c r="AJ109" s="6"/>
      <c r="AK109" s="6"/>
      <c r="AL109" s="6"/>
      <c r="AM109" s="4"/>
    </row>
    <row r="110" spans="1:39" ht="2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</row>
  </sheetData>
  <mergeCells count="2">
    <mergeCell ref="A1:H1"/>
    <mergeCell ref="A2:H2"/>
  </mergeCells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110"/>
  <sheetViews>
    <sheetView showGridLines="0" zoomScale="90" zoomScaleNormal="90" workbookViewId="0">
      <pane ySplit="4" topLeftCell="A5" activePane="bottomLeft" state="frozen"/>
      <selection pane="bottomLeft" sqref="A1:H1"/>
    </sheetView>
  </sheetViews>
  <sheetFormatPr defaultRowHeight="14"/>
  <cols>
    <col min="1" max="2" width="18.58203125" customWidth="1"/>
    <col min="3" max="5" width="24.58203125" customWidth="1"/>
    <col min="6" max="8" width="18.58203125" customWidth="1"/>
    <col min="9" max="12" width="16" customWidth="1"/>
  </cols>
  <sheetData>
    <row r="1" spans="1:12" ht="28" customHeight="1">
      <c r="A1" s="10" t="s">
        <v>44</v>
      </c>
      <c r="B1" s="11"/>
      <c r="C1" s="11"/>
      <c r="D1" s="11"/>
      <c r="E1" s="11"/>
      <c r="F1" s="11"/>
      <c r="G1" s="11"/>
      <c r="H1" s="11"/>
      <c r="I1" s="1"/>
      <c r="J1" s="1"/>
      <c r="K1" s="1"/>
      <c r="L1" s="1"/>
    </row>
    <row r="2" spans="1:12" ht="32" customHeight="1">
      <c r="A2" s="12" t="s">
        <v>45</v>
      </c>
      <c r="B2" s="11"/>
      <c r="C2" s="11"/>
      <c r="D2" s="11"/>
      <c r="E2" s="11"/>
      <c r="F2" s="11"/>
      <c r="G2" s="11"/>
      <c r="H2" s="11"/>
      <c r="I2" s="1"/>
      <c r="J2" s="1"/>
      <c r="K2" s="1"/>
      <c r="L2" s="1"/>
    </row>
    <row r="3" spans="1:12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22" customHeight="1">
      <c r="A4" s="1" t="s">
        <v>46</v>
      </c>
      <c r="B4" s="9">
        <v>0.5</v>
      </c>
      <c r="C4" s="1" t="s">
        <v>47</v>
      </c>
      <c r="D4" s="9">
        <v>0.8</v>
      </c>
      <c r="E4" s="1"/>
      <c r="F4" s="1"/>
      <c r="G4" s="1"/>
      <c r="H4" s="1"/>
      <c r="I4" s="1"/>
      <c r="J4" s="1"/>
      <c r="K4" s="1"/>
      <c r="L4" s="1"/>
    </row>
    <row r="5" spans="1:12" ht="22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22" customHeight="1">
      <c r="A6" s="2" t="s">
        <v>48</v>
      </c>
      <c r="B6" s="2" t="s">
        <v>49</v>
      </c>
      <c r="C6" s="2" t="s">
        <v>50</v>
      </c>
      <c r="D6" s="2" t="s">
        <v>51</v>
      </c>
      <c r="E6" s="2" t="s">
        <v>52</v>
      </c>
      <c r="F6" s="2" t="s">
        <v>53</v>
      </c>
      <c r="G6" s="2" t="s">
        <v>51</v>
      </c>
      <c r="H6" s="1"/>
      <c r="I6" s="1"/>
      <c r="J6" s="1"/>
      <c r="K6" s="1"/>
      <c r="L6" s="1"/>
    </row>
    <row r="7" spans="1:12" ht="22" customHeight="1">
      <c r="A7" s="1">
        <v>2</v>
      </c>
      <c r="B7" s="3">
        <f>NM_ExpTaylor($B$4,A7)</f>
        <v>1.625</v>
      </c>
      <c r="C7" s="3">
        <f>EXP($B$4)</f>
        <v>1.6487212707001282</v>
      </c>
      <c r="D7" s="8">
        <f>ABS(B7-C7)</f>
        <v>2.3721270700128194E-2</v>
      </c>
      <c r="E7" s="3">
        <f>NM_SinTaylor($D$4,A7)</f>
        <v>0.8</v>
      </c>
      <c r="F7" s="3">
        <f>SIN($D$4)</f>
        <v>0.71735609089952279</v>
      </c>
      <c r="G7" s="8">
        <f>ABS(E7-F7)</f>
        <v>8.2643909100477253E-2</v>
      </c>
      <c r="H7" s="1"/>
      <c r="I7" s="1"/>
      <c r="J7" s="1"/>
      <c r="K7" s="1"/>
      <c r="L7" s="1"/>
    </row>
    <row r="8" spans="1:12" ht="22" customHeight="1">
      <c r="A8" s="1">
        <v>4</v>
      </c>
      <c r="B8" s="3">
        <f>NM_ExpTaylor($B$4,A8)</f>
        <v>1.6484375</v>
      </c>
      <c r="C8" s="3">
        <f>EXP($B$4)</f>
        <v>1.6487212707001282</v>
      </c>
      <c r="D8" s="8">
        <f>ABS(B8-C8)</f>
        <v>2.8377070012819416E-4</v>
      </c>
      <c r="E8" s="3">
        <f>NM_SinTaylor($D$4,A8)</f>
        <v>0.71466666666666667</v>
      </c>
      <c r="F8" s="3">
        <f>SIN($D$4)</f>
        <v>0.71735609089952279</v>
      </c>
      <c r="G8" s="8">
        <f>ABS(E8-F8)</f>
        <v>2.6894242328561191E-3</v>
      </c>
      <c r="H8" s="1"/>
      <c r="I8" s="1"/>
      <c r="J8" s="1"/>
      <c r="K8" s="1"/>
      <c r="L8" s="1"/>
    </row>
    <row r="9" spans="1:12" ht="22" customHeight="1">
      <c r="A9" s="1">
        <v>6</v>
      </c>
      <c r="B9" s="3">
        <f>NM_ExpTaylor($B$4,A9)</f>
        <v>1.6487196180555554</v>
      </c>
      <c r="C9" s="3">
        <f>EXP($B$4)</f>
        <v>1.6487212707001282</v>
      </c>
      <c r="D9" s="8">
        <f>ABS(B9-C9)</f>
        <v>1.6526445727471639E-6</v>
      </c>
      <c r="E9" s="3">
        <f>NM_SinTaylor($D$4,A9)</f>
        <v>0.71739733333333333</v>
      </c>
      <c r="F9" s="3">
        <f>SIN($D$4)</f>
        <v>0.71735609089952279</v>
      </c>
      <c r="G9" s="8">
        <f>ABS(E9-F9)</f>
        <v>4.1242433810539936E-5</v>
      </c>
      <c r="H9" s="1"/>
      <c r="I9" s="1"/>
      <c r="J9" s="1"/>
      <c r="K9" s="1"/>
      <c r="L9" s="1"/>
    </row>
    <row r="10" spans="1:12" ht="22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22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22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22" customHeight="1">
      <c r="A13" s="1" t="s">
        <v>54</v>
      </c>
      <c r="B13" s="1" t="s">
        <v>55</v>
      </c>
      <c r="C13" s="1" t="s">
        <v>56</v>
      </c>
      <c r="D13" s="1" t="s">
        <v>57</v>
      </c>
      <c r="E13" s="1" t="s">
        <v>58</v>
      </c>
      <c r="F13" s="1"/>
      <c r="G13" s="1"/>
      <c r="H13" s="1"/>
      <c r="I13" s="1"/>
      <c r="J13" s="1"/>
      <c r="K13" s="1"/>
      <c r="L13" s="1"/>
    </row>
    <row r="14" spans="1:12" ht="22" customHeight="1">
      <c r="A14" s="9">
        <v>1E-4</v>
      </c>
      <c r="B14" s="9">
        <v>10000</v>
      </c>
      <c r="C14" s="7">
        <f>NM_AddUp(A14,B14)</f>
        <v>0.99999999999990619</v>
      </c>
      <c r="D14" s="7">
        <f>A14*B14</f>
        <v>1</v>
      </c>
      <c r="E14" s="8">
        <f>ABS(C14-D14)</f>
        <v>9.3813845580825728E-14</v>
      </c>
      <c r="F14" s="1"/>
      <c r="G14" s="1"/>
      <c r="H14" s="1"/>
      <c r="I14" s="1"/>
      <c r="J14" s="1"/>
      <c r="K14" s="1"/>
      <c r="L14" s="1"/>
    </row>
    <row r="15" spans="1:12" ht="22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22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32" customHeight="1">
      <c r="A17" s="13" t="s">
        <v>59</v>
      </c>
      <c r="B17" s="11"/>
      <c r="C17" s="11"/>
      <c r="D17" s="11"/>
      <c r="E17" s="11"/>
      <c r="F17" s="11"/>
      <c r="G17" s="11"/>
      <c r="H17" s="11"/>
      <c r="I17" s="1"/>
      <c r="J17" s="1"/>
      <c r="K17" s="1"/>
      <c r="L17" s="1"/>
    </row>
    <row r="18" spans="1:12" ht="32" customHeight="1">
      <c r="A18" s="13" t="s">
        <v>60</v>
      </c>
      <c r="B18" s="11"/>
      <c r="C18" s="11"/>
      <c r="D18" s="11"/>
      <c r="E18" s="11"/>
      <c r="F18" s="11"/>
      <c r="G18" s="11"/>
      <c r="H18" s="11"/>
      <c r="I18" s="1"/>
      <c r="J18" s="1"/>
      <c r="K18" s="1"/>
      <c r="L18" s="1"/>
    </row>
    <row r="19" spans="1:12" ht="32" customHeight="1">
      <c r="A19" s="13" t="s">
        <v>61</v>
      </c>
      <c r="B19" s="11"/>
      <c r="C19" s="11"/>
      <c r="D19" s="11"/>
      <c r="E19" s="11"/>
      <c r="F19" s="11"/>
      <c r="G19" s="11"/>
      <c r="H19" s="11"/>
      <c r="I19" s="1"/>
      <c r="J19" s="1"/>
      <c r="K19" s="1"/>
      <c r="L19" s="1"/>
    </row>
    <row r="20" spans="1:12" ht="22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ht="22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22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22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22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22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2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22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22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22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22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22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22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22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22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22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22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22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22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22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22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ht="22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ht="22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ht="22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ht="22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ht="22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ht="22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ht="2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2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2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22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22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22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22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22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22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22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22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22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22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22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22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22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22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22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22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22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22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22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22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22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22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22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22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22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22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22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22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22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22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22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22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2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2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2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2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2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2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2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2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2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2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2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2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2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2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2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2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2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2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2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2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2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2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2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2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2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2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2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2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2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</sheetData>
  <mergeCells count="5">
    <mergeCell ref="A1:H1"/>
    <mergeCell ref="A2:H2"/>
    <mergeCell ref="A17:H17"/>
    <mergeCell ref="A18:H18"/>
    <mergeCell ref="A19:H19"/>
  </mergeCells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110"/>
  <sheetViews>
    <sheetView showGridLines="0" zoomScale="90" zoomScaleNormal="90" workbookViewId="0">
      <pane ySplit="4" topLeftCell="A5" activePane="bottomLeft" state="frozen"/>
      <selection pane="bottomLeft" sqref="A1:H1"/>
    </sheetView>
  </sheetViews>
  <sheetFormatPr defaultRowHeight="14"/>
  <cols>
    <col min="1" max="8" width="18.58203125" customWidth="1"/>
    <col min="9" max="12" width="16" customWidth="1"/>
  </cols>
  <sheetData>
    <row r="1" spans="1:12" ht="28" customHeight="1">
      <c r="A1" s="10" t="s">
        <v>62</v>
      </c>
      <c r="B1" s="11"/>
      <c r="C1" s="11"/>
      <c r="D1" s="11"/>
      <c r="E1" s="11"/>
      <c r="F1" s="11"/>
      <c r="G1" s="11"/>
      <c r="H1" s="11"/>
      <c r="I1" s="1"/>
      <c r="J1" s="1"/>
      <c r="K1" s="1"/>
      <c r="L1" s="1"/>
    </row>
    <row r="2" spans="1:12" ht="32" customHeight="1">
      <c r="A2" s="12" t="s">
        <v>63</v>
      </c>
      <c r="B2" s="11"/>
      <c r="C2" s="11"/>
      <c r="D2" s="11"/>
      <c r="E2" s="11"/>
      <c r="F2" s="11"/>
      <c r="G2" s="11"/>
      <c r="H2" s="11"/>
      <c r="I2" s="1"/>
      <c r="J2" s="1"/>
      <c r="K2" s="1"/>
      <c r="L2" s="1"/>
    </row>
    <row r="3" spans="1:12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22" customHeight="1">
      <c r="A4" s="2" t="s">
        <v>64</v>
      </c>
      <c r="B4" s="2" t="s">
        <v>65</v>
      </c>
      <c r="C4" s="1"/>
      <c r="D4" s="2" t="s">
        <v>66</v>
      </c>
      <c r="E4" s="2" t="s">
        <v>67</v>
      </c>
      <c r="F4" s="2" t="s">
        <v>33</v>
      </c>
      <c r="G4" s="1"/>
      <c r="H4" s="1"/>
      <c r="I4" s="1"/>
      <c r="J4" s="1"/>
      <c r="K4" s="1"/>
      <c r="L4" s="1"/>
    </row>
    <row r="5" spans="1:12" ht="22" customHeight="1">
      <c r="A5" s="9">
        <v>-2</v>
      </c>
      <c r="B5" s="9">
        <v>1</v>
      </c>
      <c r="C5" s="1"/>
      <c r="D5" s="9">
        <v>1</v>
      </c>
      <c r="E5" s="3">
        <f>NM_Lagrange($A$5:$B$9,D5)</f>
        <v>10</v>
      </c>
      <c r="F5" s="3">
        <f>NM_NewtonPoly($A$5:$B$9,D5)</f>
        <v>10</v>
      </c>
      <c r="G5" s="1"/>
      <c r="H5" s="1"/>
      <c r="I5" s="1"/>
      <c r="J5" s="1"/>
      <c r="K5" s="1"/>
      <c r="L5" s="1"/>
    </row>
    <row r="6" spans="1:12" ht="22" customHeight="1">
      <c r="A6" s="9">
        <v>-1</v>
      </c>
      <c r="B6" s="9">
        <v>4</v>
      </c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22" customHeight="1">
      <c r="A7" s="9">
        <v>0</v>
      </c>
      <c r="B7" s="9">
        <v>5</v>
      </c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22" customHeight="1">
      <c r="A8" s="9">
        <v>2</v>
      </c>
      <c r="B8" s="9">
        <v>13</v>
      </c>
      <c r="C8" s="1"/>
      <c r="D8" s="2" t="s">
        <v>68</v>
      </c>
      <c r="E8" s="2" t="s">
        <v>69</v>
      </c>
      <c r="F8" s="1"/>
      <c r="G8" s="1"/>
      <c r="H8" s="1"/>
      <c r="I8" s="1"/>
      <c r="J8" s="1"/>
      <c r="K8" s="1"/>
      <c r="L8" s="1"/>
    </row>
    <row r="9" spans="1:12" ht="22" customHeight="1">
      <c r="A9" s="9">
        <v>3</v>
      </c>
      <c r="B9" s="9">
        <v>-4</v>
      </c>
      <c r="C9" s="1"/>
      <c r="D9" s="1">
        <v>0</v>
      </c>
      <c r="E9" s="3">
        <f>NM_NewtonCoeff($A$5:$B$9,D9)</f>
        <v>1</v>
      </c>
      <c r="F9" s="1"/>
      <c r="G9" s="1"/>
      <c r="H9" s="1"/>
      <c r="I9" s="1"/>
      <c r="J9" s="1"/>
      <c r="K9" s="1"/>
      <c r="L9" s="1"/>
    </row>
    <row r="10" spans="1:12" ht="22" customHeight="1">
      <c r="A10" s="1"/>
      <c r="B10" s="1"/>
      <c r="C10" s="1"/>
      <c r="D10" s="1">
        <v>1</v>
      </c>
      <c r="E10" s="3">
        <f>NM_NewtonCoeff($A$5:$B$9,D10)</f>
        <v>3</v>
      </c>
      <c r="F10" s="1"/>
      <c r="G10" s="1"/>
      <c r="H10" s="1"/>
      <c r="I10" s="1"/>
      <c r="J10" s="1"/>
      <c r="K10" s="1"/>
      <c r="L10" s="1"/>
    </row>
    <row r="11" spans="1:12" ht="22" customHeight="1">
      <c r="A11" s="1"/>
      <c r="B11" s="1"/>
      <c r="C11" s="1"/>
      <c r="D11" s="1">
        <v>2</v>
      </c>
      <c r="E11" s="3">
        <f>NM_NewtonCoeff($A$5:$B$9,D11)</f>
        <v>-1</v>
      </c>
      <c r="F11" s="1"/>
      <c r="G11" s="1"/>
      <c r="H11" s="1"/>
      <c r="I11" s="1"/>
      <c r="J11" s="1"/>
      <c r="K11" s="1"/>
      <c r="L11" s="1"/>
    </row>
    <row r="12" spans="1:12" ht="22" customHeight="1">
      <c r="A12" s="1"/>
      <c r="B12" s="1"/>
      <c r="C12" s="1"/>
      <c r="D12" s="1">
        <v>3</v>
      </c>
      <c r="E12" s="3">
        <f>NM_NewtonCoeff($A$5:$B$9,D12)</f>
        <v>0.5</v>
      </c>
      <c r="F12" s="1"/>
      <c r="G12" s="1"/>
      <c r="H12" s="1"/>
      <c r="I12" s="1"/>
      <c r="J12" s="1"/>
      <c r="K12" s="1"/>
      <c r="L12" s="1"/>
    </row>
    <row r="13" spans="1:12" ht="22" customHeight="1">
      <c r="A13" s="1"/>
      <c r="B13" s="1"/>
      <c r="C13" s="1"/>
      <c r="D13" s="1">
        <v>4</v>
      </c>
      <c r="E13" s="3">
        <f>NM_NewtonCoeff($A$5:$B$9,D13)</f>
        <v>-0.5</v>
      </c>
      <c r="F13" s="1"/>
      <c r="G13" s="1"/>
      <c r="H13" s="1"/>
      <c r="I13" s="1"/>
      <c r="J13" s="1"/>
      <c r="K13" s="1"/>
      <c r="L13" s="1"/>
    </row>
    <row r="14" spans="1:12" ht="22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22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22" customHeight="1">
      <c r="A16" s="1"/>
      <c r="B16" s="1"/>
      <c r="C16" s="1"/>
      <c r="D16" s="1" t="s">
        <v>70</v>
      </c>
      <c r="E16" s="1" t="s">
        <v>71</v>
      </c>
      <c r="F16" s="1" t="s">
        <v>72</v>
      </c>
      <c r="G16" s="1"/>
      <c r="H16" s="1"/>
      <c r="I16" s="1"/>
      <c r="J16" s="1"/>
      <c r="K16" s="1"/>
      <c r="L16" s="1"/>
    </row>
    <row r="17" spans="1:12" ht="22" customHeight="1">
      <c r="A17" s="1"/>
      <c r="B17" s="1"/>
      <c r="C17" s="1"/>
      <c r="D17" s="1" t="s">
        <v>31</v>
      </c>
      <c r="E17" s="3">
        <f>NM_Root(D17,3,2,3,0.00000001,100,$A$5:$B$9)</f>
        <v>2.8792576966807246</v>
      </c>
      <c r="F17" s="8">
        <f>NM_Lagrange($A$5:$B$9,E17)</f>
        <v>4.4910208885085012E-9</v>
      </c>
      <c r="G17" s="1"/>
      <c r="H17" s="1"/>
      <c r="I17" s="1"/>
      <c r="J17" s="1"/>
      <c r="K17" s="1"/>
      <c r="L17" s="1"/>
    </row>
    <row r="18" spans="1:12" ht="22" customHeight="1">
      <c r="A18" s="1"/>
      <c r="B18" s="1"/>
      <c r="C18" s="1"/>
      <c r="D18" s="1" t="s">
        <v>33</v>
      </c>
      <c r="E18" s="3">
        <f>NM_Root(D18,3,2,0,0.00000001,100,$A$5:$B$9)</f>
        <v>2.8792576968287356</v>
      </c>
      <c r="F18" s="8">
        <f>NM_Lagrange($A$5:$B$9,E18)</f>
        <v>-4.8849813083506888E-15</v>
      </c>
      <c r="G18" s="1"/>
      <c r="H18" s="1"/>
      <c r="I18" s="1"/>
      <c r="J18" s="1"/>
      <c r="K18" s="1"/>
      <c r="L18" s="1"/>
    </row>
    <row r="19" spans="1:12" ht="22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22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ht="32" customHeight="1">
      <c r="A21" s="13" t="s">
        <v>73</v>
      </c>
      <c r="B21" s="11"/>
      <c r="C21" s="11"/>
      <c r="D21" s="11"/>
      <c r="E21" s="11"/>
      <c r="F21" s="11"/>
      <c r="G21" s="11"/>
      <c r="H21" s="11"/>
      <c r="I21" s="1"/>
      <c r="J21" s="1"/>
      <c r="K21" s="1"/>
      <c r="L21" s="1"/>
    </row>
    <row r="22" spans="1:12" ht="32" customHeight="1">
      <c r="A22" s="13" t="s">
        <v>74</v>
      </c>
      <c r="B22" s="11"/>
      <c r="C22" s="11"/>
      <c r="D22" s="11"/>
      <c r="E22" s="11"/>
      <c r="F22" s="11"/>
      <c r="G22" s="11"/>
      <c r="H22" s="11"/>
      <c r="I22" s="1"/>
      <c r="J22" s="1"/>
      <c r="K22" s="1"/>
      <c r="L22" s="1"/>
    </row>
    <row r="23" spans="1:12" ht="22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22" customHeight="1">
      <c r="A24" s="1"/>
      <c r="B24" s="1"/>
      <c r="C24" s="1"/>
      <c r="D24" s="1"/>
      <c r="E24" s="1"/>
      <c r="F24" s="1"/>
      <c r="G24" s="1"/>
      <c r="H24" s="2" t="s">
        <v>75</v>
      </c>
      <c r="I24" s="2" t="s">
        <v>76</v>
      </c>
      <c r="J24" s="2" t="s">
        <v>77</v>
      </c>
      <c r="K24" s="1"/>
      <c r="L24" s="1"/>
    </row>
    <row r="25" spans="1:12" ht="22" customHeight="1">
      <c r="A25" s="1"/>
      <c r="B25" s="1"/>
      <c r="C25" s="1"/>
      <c r="D25" s="1"/>
      <c r="E25" s="1"/>
      <c r="F25" s="1"/>
      <c r="G25" s="1"/>
      <c r="H25" s="1">
        <v>-2</v>
      </c>
      <c r="I25" s="3">
        <f t="shared" ref="I25:I56" si="0">NM_Lagrange($A$5:$B$9,H25)</f>
        <v>1</v>
      </c>
      <c r="J25" s="3">
        <f t="shared" ref="J25:J56" si="1">NM_NewtonPoly($A$5:$B$9,H25)</f>
        <v>1</v>
      </c>
      <c r="K25" s="1"/>
      <c r="L25" s="1"/>
    </row>
    <row r="26" spans="1:12" ht="22" customHeight="1">
      <c r="A26" s="1"/>
      <c r="B26" s="1"/>
      <c r="C26" s="1"/>
      <c r="D26" s="1"/>
      <c r="E26" s="1"/>
      <c r="F26" s="1"/>
      <c r="G26" s="1"/>
      <c r="H26" s="1">
        <v>-1.9</v>
      </c>
      <c r="I26" s="3">
        <f t="shared" si="0"/>
        <v>1.8089500000000009</v>
      </c>
      <c r="J26" s="3">
        <f t="shared" si="1"/>
        <v>1.8089500000000007</v>
      </c>
      <c r="K26" s="1"/>
      <c r="L26" s="1"/>
    </row>
    <row r="27" spans="1:12" ht="22" customHeight="1">
      <c r="A27" s="1"/>
      <c r="B27" s="1"/>
      <c r="C27" s="1"/>
      <c r="D27" s="1"/>
      <c r="E27" s="1"/>
      <c r="F27" s="1"/>
      <c r="G27" s="1"/>
      <c r="H27" s="1">
        <v>-1.8</v>
      </c>
      <c r="I27" s="3">
        <f t="shared" si="0"/>
        <v>2.4512</v>
      </c>
      <c r="J27" s="3">
        <f t="shared" si="1"/>
        <v>2.4511999999999996</v>
      </c>
      <c r="K27" s="1"/>
      <c r="L27" s="1"/>
    </row>
    <row r="28" spans="1:12" ht="22" customHeight="1">
      <c r="A28" s="1"/>
      <c r="B28" s="1"/>
      <c r="C28" s="1"/>
      <c r="D28" s="1"/>
      <c r="E28" s="1"/>
      <c r="F28" s="1"/>
      <c r="G28" s="1"/>
      <c r="H28" s="1">
        <v>-1.7</v>
      </c>
      <c r="I28" s="3">
        <f t="shared" si="0"/>
        <v>2.9489500000000004</v>
      </c>
      <c r="J28" s="3">
        <f t="shared" si="1"/>
        <v>2.9489500000000004</v>
      </c>
      <c r="K28" s="1"/>
      <c r="L28" s="1"/>
    </row>
    <row r="29" spans="1:12" ht="22" customHeight="1">
      <c r="A29" s="1"/>
      <c r="B29" s="1"/>
      <c r="C29" s="1"/>
      <c r="D29" s="1"/>
      <c r="E29" s="1"/>
      <c r="F29" s="1"/>
      <c r="G29" s="1"/>
      <c r="H29" s="1">
        <v>-1.6</v>
      </c>
      <c r="I29" s="3">
        <f t="shared" si="0"/>
        <v>3.3231999999999995</v>
      </c>
      <c r="J29" s="3">
        <f t="shared" si="1"/>
        <v>3.3231999999999999</v>
      </c>
      <c r="K29" s="1"/>
      <c r="L29" s="1"/>
    </row>
    <row r="30" spans="1:12" ht="22" customHeight="1">
      <c r="A30" s="1"/>
      <c r="B30" s="1"/>
      <c r="C30" s="1"/>
      <c r="D30" s="1"/>
      <c r="E30" s="1"/>
      <c r="F30" s="1"/>
      <c r="G30" s="1"/>
      <c r="H30" s="1">
        <v>-1.5</v>
      </c>
      <c r="I30" s="3">
        <f t="shared" si="0"/>
        <v>3.5937499999999996</v>
      </c>
      <c r="J30" s="3">
        <f t="shared" si="1"/>
        <v>3.59375</v>
      </c>
      <c r="K30" s="1"/>
      <c r="L30" s="1"/>
    </row>
    <row r="31" spans="1:12" ht="22" customHeight="1">
      <c r="A31" s="1"/>
      <c r="B31" s="1"/>
      <c r="C31" s="1"/>
      <c r="D31" s="1"/>
      <c r="E31" s="1"/>
      <c r="F31" s="1"/>
      <c r="G31" s="1"/>
      <c r="H31" s="1">
        <v>-1.4</v>
      </c>
      <c r="I31" s="3">
        <f t="shared" si="0"/>
        <v>3.7792000000000003</v>
      </c>
      <c r="J31" s="3">
        <f t="shared" si="1"/>
        <v>3.7792000000000003</v>
      </c>
      <c r="K31" s="1"/>
      <c r="L31" s="1"/>
    </row>
    <row r="32" spans="1:12" ht="22" customHeight="1">
      <c r="A32" s="1"/>
      <c r="B32" s="1"/>
      <c r="C32" s="1"/>
      <c r="D32" s="1"/>
      <c r="E32" s="1"/>
      <c r="F32" s="1"/>
      <c r="G32" s="1"/>
      <c r="H32" s="1">
        <v>-1.3</v>
      </c>
      <c r="I32" s="3">
        <f t="shared" si="0"/>
        <v>3.8969499999999995</v>
      </c>
      <c r="J32" s="3">
        <f t="shared" si="1"/>
        <v>3.8969499999999995</v>
      </c>
      <c r="K32" s="1"/>
      <c r="L32" s="1"/>
    </row>
    <row r="33" spans="1:12" ht="22" customHeight="1">
      <c r="A33" s="1"/>
      <c r="B33" s="1"/>
      <c r="C33" s="1"/>
      <c r="D33" s="1"/>
      <c r="E33" s="1"/>
      <c r="F33" s="1"/>
      <c r="G33" s="1"/>
      <c r="H33" s="1">
        <v>-1.2</v>
      </c>
      <c r="I33" s="3">
        <f t="shared" si="0"/>
        <v>3.9632000000000005</v>
      </c>
      <c r="J33" s="3">
        <f t="shared" si="1"/>
        <v>3.9632000000000005</v>
      </c>
      <c r="K33" s="1"/>
      <c r="L33" s="1"/>
    </row>
    <row r="34" spans="1:12" ht="22" customHeight="1">
      <c r="A34" s="1"/>
      <c r="B34" s="1"/>
      <c r="C34" s="1"/>
      <c r="D34" s="1"/>
      <c r="E34" s="1"/>
      <c r="F34" s="1"/>
      <c r="G34" s="1"/>
      <c r="H34" s="1">
        <v>-1.1000000000000001</v>
      </c>
      <c r="I34" s="3">
        <f t="shared" si="0"/>
        <v>3.9929499999999991</v>
      </c>
      <c r="J34" s="3">
        <f t="shared" si="1"/>
        <v>3.99295</v>
      </c>
      <c r="K34" s="1"/>
      <c r="L34" s="1"/>
    </row>
    <row r="35" spans="1:12" ht="22" customHeight="1">
      <c r="A35" s="1"/>
      <c r="B35" s="1"/>
      <c r="C35" s="1"/>
      <c r="D35" s="1"/>
      <c r="E35" s="1"/>
      <c r="F35" s="1"/>
      <c r="G35" s="1"/>
      <c r="H35" s="1">
        <v>-1</v>
      </c>
      <c r="I35" s="3">
        <f t="shared" si="0"/>
        <v>4</v>
      </c>
      <c r="J35" s="3">
        <f t="shared" si="1"/>
        <v>4</v>
      </c>
      <c r="K35" s="1"/>
      <c r="L35" s="1"/>
    </row>
    <row r="36" spans="1:12" ht="22" customHeight="1">
      <c r="A36" s="1"/>
      <c r="B36" s="1"/>
      <c r="C36" s="1"/>
      <c r="D36" s="1"/>
      <c r="E36" s="1"/>
      <c r="F36" s="1"/>
      <c r="G36" s="1"/>
      <c r="H36" s="1">
        <v>-0.9</v>
      </c>
      <c r="I36" s="3">
        <f t="shared" si="0"/>
        <v>3.99695</v>
      </c>
      <c r="J36" s="3">
        <f t="shared" si="1"/>
        <v>3.9969500000000004</v>
      </c>
      <c r="K36" s="1"/>
      <c r="L36" s="1"/>
    </row>
    <row r="37" spans="1:12" ht="22" customHeight="1">
      <c r="A37" s="1"/>
      <c r="B37" s="1"/>
      <c r="C37" s="1"/>
      <c r="D37" s="1"/>
      <c r="E37" s="1"/>
      <c r="F37" s="1"/>
      <c r="G37" s="1"/>
      <c r="H37" s="1">
        <v>-0.8</v>
      </c>
      <c r="I37" s="3">
        <f t="shared" si="0"/>
        <v>3.9951999999999992</v>
      </c>
      <c r="J37" s="3">
        <f t="shared" si="1"/>
        <v>3.9951999999999996</v>
      </c>
      <c r="K37" s="1"/>
      <c r="L37" s="1"/>
    </row>
    <row r="38" spans="1:12" ht="22" customHeight="1">
      <c r="A38" s="1"/>
      <c r="B38" s="1"/>
      <c r="C38" s="1"/>
      <c r="D38" s="1"/>
      <c r="E38" s="1"/>
      <c r="F38" s="1"/>
      <c r="G38" s="1"/>
      <c r="H38" s="1">
        <v>-0.7</v>
      </c>
      <c r="I38" s="3">
        <f t="shared" si="0"/>
        <v>4.00495</v>
      </c>
      <c r="J38" s="3">
        <f t="shared" si="1"/>
        <v>4.0049500000000009</v>
      </c>
      <c r="K38" s="1"/>
      <c r="L38" s="1"/>
    </row>
    <row r="39" spans="1:12" ht="22" customHeight="1">
      <c r="A39" s="1"/>
      <c r="B39" s="1"/>
      <c r="C39" s="1"/>
      <c r="D39" s="1"/>
      <c r="E39" s="1"/>
      <c r="F39" s="1"/>
      <c r="G39" s="1"/>
      <c r="H39" s="1">
        <v>-0.6</v>
      </c>
      <c r="I39" s="3">
        <f t="shared" si="0"/>
        <v>4.0352000000000006</v>
      </c>
      <c r="J39" s="3">
        <f t="shared" si="1"/>
        <v>4.0351999999999997</v>
      </c>
      <c r="K39" s="1"/>
      <c r="L39" s="1"/>
    </row>
    <row r="40" spans="1:12" ht="22" customHeight="1">
      <c r="A40" s="1"/>
      <c r="B40" s="1"/>
      <c r="C40" s="1"/>
      <c r="D40" s="1"/>
      <c r="E40" s="1"/>
      <c r="F40" s="1"/>
      <c r="G40" s="1"/>
      <c r="H40" s="1">
        <v>-0.5</v>
      </c>
      <c r="I40" s="3">
        <f t="shared" si="0"/>
        <v>4.09375</v>
      </c>
      <c r="J40" s="3">
        <f t="shared" si="1"/>
        <v>4.09375</v>
      </c>
      <c r="K40" s="1"/>
      <c r="L40" s="1"/>
    </row>
    <row r="41" spans="1:12" ht="22" customHeight="1">
      <c r="A41" s="1"/>
      <c r="B41" s="1"/>
      <c r="C41" s="1"/>
      <c r="D41" s="1"/>
      <c r="E41" s="1"/>
      <c r="F41" s="1"/>
      <c r="G41" s="1"/>
      <c r="H41" s="1">
        <v>-0.4</v>
      </c>
      <c r="I41" s="3">
        <f t="shared" si="0"/>
        <v>4.1871999999999998</v>
      </c>
      <c r="J41" s="3">
        <f t="shared" si="1"/>
        <v>4.1872000000000007</v>
      </c>
      <c r="K41" s="1"/>
      <c r="L41" s="1"/>
    </row>
    <row r="42" spans="1:12" ht="22" customHeight="1">
      <c r="A42" s="1"/>
      <c r="B42" s="1"/>
      <c r="C42" s="1"/>
      <c r="D42" s="1"/>
      <c r="E42" s="1"/>
      <c r="F42" s="1"/>
      <c r="G42" s="1"/>
      <c r="H42" s="1">
        <v>-0.3</v>
      </c>
      <c r="I42" s="3">
        <f t="shared" si="0"/>
        <v>4.3209499999999998</v>
      </c>
      <c r="J42" s="3">
        <f t="shared" si="1"/>
        <v>4.3209500000000007</v>
      </c>
      <c r="K42" s="1"/>
      <c r="L42" s="1"/>
    </row>
    <row r="43" spans="1:12" ht="22" customHeight="1">
      <c r="A43" s="1"/>
      <c r="B43" s="1"/>
      <c r="C43" s="1"/>
      <c r="D43" s="1"/>
      <c r="E43" s="1"/>
      <c r="F43" s="1"/>
      <c r="G43" s="1"/>
      <c r="H43" s="1">
        <v>-0.2</v>
      </c>
      <c r="I43" s="3">
        <f t="shared" si="0"/>
        <v>4.4992000000000019</v>
      </c>
      <c r="J43" s="3">
        <f t="shared" si="1"/>
        <v>4.4992000000000001</v>
      </c>
      <c r="K43" s="1"/>
      <c r="L43" s="1"/>
    </row>
    <row r="44" spans="1:12" ht="22" customHeight="1">
      <c r="A44" s="1"/>
      <c r="B44" s="1"/>
      <c r="C44" s="1"/>
      <c r="D44" s="1"/>
      <c r="E44" s="1"/>
      <c r="F44" s="1"/>
      <c r="G44" s="1"/>
      <c r="H44" s="1">
        <v>-0.1</v>
      </c>
      <c r="I44" s="3">
        <f t="shared" si="0"/>
        <v>4.7249500000000015</v>
      </c>
      <c r="J44" s="3">
        <f t="shared" si="1"/>
        <v>4.7249499999999998</v>
      </c>
      <c r="K44" s="1"/>
      <c r="L44" s="1"/>
    </row>
    <row r="45" spans="1:12" ht="22" customHeight="1">
      <c r="A45" s="1"/>
      <c r="B45" s="1"/>
      <c r="C45" s="1"/>
      <c r="D45" s="1"/>
      <c r="E45" s="1"/>
      <c r="F45" s="1"/>
      <c r="G45" s="1"/>
      <c r="H45" s="1">
        <v>0</v>
      </c>
      <c r="I45" s="3">
        <f t="shared" si="0"/>
        <v>5</v>
      </c>
      <c r="J45" s="3">
        <f t="shared" si="1"/>
        <v>5</v>
      </c>
      <c r="K45" s="1"/>
      <c r="L45" s="1"/>
    </row>
    <row r="46" spans="1:12" ht="22" customHeight="1">
      <c r="A46" s="1"/>
      <c r="B46" s="1"/>
      <c r="C46" s="1"/>
      <c r="D46" s="1"/>
      <c r="E46" s="1"/>
      <c r="F46" s="1"/>
      <c r="G46" s="1"/>
      <c r="H46" s="1">
        <v>0.1</v>
      </c>
      <c r="I46" s="3">
        <f t="shared" si="0"/>
        <v>5.3249500000000012</v>
      </c>
      <c r="J46" s="3">
        <f t="shared" si="1"/>
        <v>5.3249500000000003</v>
      </c>
      <c r="K46" s="1"/>
      <c r="L46" s="1"/>
    </row>
    <row r="47" spans="1:12" ht="22" customHeight="1">
      <c r="A47" s="1"/>
      <c r="B47" s="1"/>
      <c r="C47" s="1"/>
      <c r="D47" s="1"/>
      <c r="E47" s="1"/>
      <c r="F47" s="1"/>
      <c r="G47" s="1"/>
      <c r="H47" s="1">
        <v>0.2</v>
      </c>
      <c r="I47" s="3">
        <f t="shared" si="0"/>
        <v>5.6992000000000012</v>
      </c>
      <c r="J47" s="3">
        <f t="shared" si="1"/>
        <v>5.6992000000000012</v>
      </c>
      <c r="K47" s="1"/>
      <c r="L47" s="1"/>
    </row>
    <row r="48" spans="1:12" ht="22" customHeight="1">
      <c r="A48" s="1"/>
      <c r="B48" s="1"/>
      <c r="C48" s="1"/>
      <c r="D48" s="1"/>
      <c r="E48" s="1"/>
      <c r="F48" s="1"/>
      <c r="G48" s="1"/>
      <c r="H48" s="1">
        <v>0.3</v>
      </c>
      <c r="I48" s="3">
        <f t="shared" si="0"/>
        <v>6.1209499999999997</v>
      </c>
      <c r="J48" s="3">
        <f t="shared" si="1"/>
        <v>6.1209500000000006</v>
      </c>
      <c r="K48" s="1"/>
      <c r="L48" s="1"/>
    </row>
    <row r="49" spans="1:12" ht="22" customHeight="1">
      <c r="A49" s="1"/>
      <c r="B49" s="1"/>
      <c r="C49" s="1"/>
      <c r="D49" s="1"/>
      <c r="E49" s="1"/>
      <c r="F49" s="1"/>
      <c r="G49" s="1"/>
      <c r="H49" s="1">
        <v>0.4</v>
      </c>
      <c r="I49" s="3">
        <f t="shared" si="0"/>
        <v>6.5872000000000002</v>
      </c>
      <c r="J49" s="3">
        <f t="shared" si="1"/>
        <v>6.5871999999999993</v>
      </c>
      <c r="K49" s="1"/>
      <c r="L49" s="1"/>
    </row>
    <row r="50" spans="1:12" ht="22" customHeight="1">
      <c r="A50" s="1"/>
      <c r="B50" s="1"/>
      <c r="C50" s="1"/>
      <c r="D50" s="1"/>
      <c r="E50" s="1"/>
      <c r="F50" s="1"/>
      <c r="G50" s="1"/>
      <c r="H50" s="1">
        <v>0.5</v>
      </c>
      <c r="I50" s="3">
        <f t="shared" si="0"/>
        <v>7.09375</v>
      </c>
      <c r="J50" s="3">
        <f t="shared" si="1"/>
        <v>7.09375</v>
      </c>
      <c r="K50" s="1"/>
      <c r="L50" s="1"/>
    </row>
    <row r="51" spans="1:12" ht="22" customHeight="1">
      <c r="A51" s="1"/>
      <c r="B51" s="1"/>
      <c r="C51" s="1"/>
      <c r="D51" s="1"/>
      <c r="E51" s="1"/>
      <c r="F51" s="1"/>
      <c r="G51" s="1"/>
      <c r="H51" s="1">
        <v>0.6</v>
      </c>
      <c r="I51" s="3">
        <f t="shared" si="0"/>
        <v>7.6351999999999993</v>
      </c>
      <c r="J51" s="3">
        <f t="shared" si="1"/>
        <v>7.6352000000000011</v>
      </c>
      <c r="K51" s="1"/>
      <c r="L51" s="1"/>
    </row>
    <row r="52" spans="1:12" ht="22" customHeight="1">
      <c r="A52" s="1"/>
      <c r="B52" s="1"/>
      <c r="C52" s="1"/>
      <c r="D52" s="1"/>
      <c r="E52" s="1"/>
      <c r="F52" s="1"/>
      <c r="G52" s="1"/>
      <c r="H52" s="1">
        <v>0.7</v>
      </c>
      <c r="I52" s="3">
        <f t="shared" si="0"/>
        <v>8.2049500000000002</v>
      </c>
      <c r="J52" s="3">
        <f t="shared" si="1"/>
        <v>8.2049500000000002</v>
      </c>
      <c r="K52" s="1"/>
      <c r="L52" s="1"/>
    </row>
    <row r="53" spans="1:12" ht="22" customHeight="1">
      <c r="A53" s="1"/>
      <c r="B53" s="1"/>
      <c r="C53" s="1"/>
      <c r="D53" s="1"/>
      <c r="E53" s="1"/>
      <c r="F53" s="1"/>
      <c r="G53" s="1"/>
      <c r="H53" s="1">
        <v>0.8</v>
      </c>
      <c r="I53" s="3">
        <f t="shared" si="0"/>
        <v>8.7952000000000012</v>
      </c>
      <c r="J53" s="3">
        <f t="shared" si="1"/>
        <v>8.7951999999999977</v>
      </c>
      <c r="K53" s="1"/>
      <c r="L53" s="1"/>
    </row>
    <row r="54" spans="1:12" ht="22" customHeight="1">
      <c r="A54" s="1"/>
      <c r="B54" s="1"/>
      <c r="C54" s="1"/>
      <c r="D54" s="1"/>
      <c r="E54" s="1"/>
      <c r="F54" s="1"/>
      <c r="G54" s="1"/>
      <c r="H54" s="1">
        <v>0.9</v>
      </c>
      <c r="I54" s="3">
        <f t="shared" si="0"/>
        <v>9.3969500000000004</v>
      </c>
      <c r="J54" s="3">
        <f t="shared" si="1"/>
        <v>9.3969500000000004</v>
      </c>
      <c r="K54" s="1"/>
      <c r="L54" s="1"/>
    </row>
    <row r="55" spans="1:12" ht="22" customHeight="1">
      <c r="A55" s="1"/>
      <c r="B55" s="1"/>
      <c r="C55" s="1"/>
      <c r="D55" s="1"/>
      <c r="E55" s="1"/>
      <c r="F55" s="1"/>
      <c r="G55" s="1"/>
      <c r="H55" s="1">
        <v>1</v>
      </c>
      <c r="I55" s="3">
        <f t="shared" si="0"/>
        <v>10</v>
      </c>
      <c r="J55" s="3">
        <f t="shared" si="1"/>
        <v>10</v>
      </c>
      <c r="K55" s="1"/>
      <c r="L55" s="1"/>
    </row>
    <row r="56" spans="1:12" ht="22" customHeight="1">
      <c r="A56" s="1"/>
      <c r="B56" s="1"/>
      <c r="C56" s="1"/>
      <c r="D56" s="1"/>
      <c r="E56" s="1"/>
      <c r="F56" s="1"/>
      <c r="G56" s="1"/>
      <c r="H56" s="1">
        <v>1.1000000000000001</v>
      </c>
      <c r="I56" s="3">
        <f t="shared" si="0"/>
        <v>10.59295</v>
      </c>
      <c r="J56" s="3">
        <f t="shared" si="1"/>
        <v>10.592950000000002</v>
      </c>
      <c r="K56" s="1"/>
      <c r="L56" s="1"/>
    </row>
    <row r="57" spans="1:12" ht="22" customHeight="1">
      <c r="A57" s="1"/>
      <c r="B57" s="1"/>
      <c r="C57" s="1"/>
      <c r="D57" s="1"/>
      <c r="E57" s="1"/>
      <c r="F57" s="1"/>
      <c r="G57" s="1"/>
      <c r="H57" s="1">
        <v>1.2</v>
      </c>
      <c r="I57" s="3">
        <f t="shared" ref="I57:I75" si="2">NM_Lagrange($A$5:$B$9,H57)</f>
        <v>11.1632</v>
      </c>
      <c r="J57" s="3">
        <f t="shared" ref="J57:J75" si="3">NM_NewtonPoly($A$5:$B$9,H57)</f>
        <v>11.163200000000002</v>
      </c>
      <c r="K57" s="1"/>
      <c r="L57" s="1"/>
    </row>
    <row r="58" spans="1:12" ht="22" customHeight="1">
      <c r="A58" s="1"/>
      <c r="B58" s="1"/>
      <c r="C58" s="1"/>
      <c r="D58" s="1"/>
      <c r="E58" s="1"/>
      <c r="F58" s="1"/>
      <c r="G58" s="1"/>
      <c r="H58" s="1">
        <v>1.3</v>
      </c>
      <c r="I58" s="3">
        <f t="shared" si="2"/>
        <v>11.696949999999999</v>
      </c>
      <c r="J58" s="3">
        <f t="shared" si="3"/>
        <v>11.696949999999999</v>
      </c>
      <c r="K58" s="1"/>
      <c r="L58" s="1"/>
    </row>
    <row r="59" spans="1:12" ht="22" customHeight="1">
      <c r="A59" s="1"/>
      <c r="B59" s="1"/>
      <c r="C59" s="1"/>
      <c r="D59" s="1"/>
      <c r="E59" s="1"/>
      <c r="F59" s="1"/>
      <c r="G59" s="1"/>
      <c r="H59" s="1">
        <v>1.4</v>
      </c>
      <c r="I59" s="3">
        <f t="shared" si="2"/>
        <v>12.179200000000002</v>
      </c>
      <c r="J59" s="3">
        <f t="shared" si="3"/>
        <v>12.1792</v>
      </c>
      <c r="K59" s="1"/>
      <c r="L59" s="1"/>
    </row>
    <row r="60" spans="1:12" ht="22" customHeight="1">
      <c r="A60" s="1"/>
      <c r="B60" s="1"/>
      <c r="C60" s="1"/>
      <c r="D60" s="1"/>
      <c r="E60" s="1"/>
      <c r="F60" s="1"/>
      <c r="G60" s="1"/>
      <c r="H60" s="1">
        <v>1.5</v>
      </c>
      <c r="I60" s="3">
        <f t="shared" si="2"/>
        <v>12.59375</v>
      </c>
      <c r="J60" s="3">
        <f t="shared" si="3"/>
        <v>12.59375</v>
      </c>
      <c r="K60" s="1"/>
      <c r="L60" s="1"/>
    </row>
    <row r="61" spans="1:12" ht="22" customHeight="1">
      <c r="A61" s="1"/>
      <c r="B61" s="1"/>
      <c r="C61" s="1"/>
      <c r="D61" s="1"/>
      <c r="E61" s="1"/>
      <c r="F61" s="1"/>
      <c r="G61" s="1"/>
      <c r="H61" s="1">
        <v>1.6</v>
      </c>
      <c r="I61" s="3">
        <f t="shared" si="2"/>
        <v>12.923200000000001</v>
      </c>
      <c r="J61" s="3">
        <f t="shared" si="3"/>
        <v>12.923200000000001</v>
      </c>
      <c r="K61" s="1"/>
      <c r="L61" s="1"/>
    </row>
    <row r="62" spans="1:12" ht="22" customHeight="1">
      <c r="A62" s="1"/>
      <c r="B62" s="1"/>
      <c r="C62" s="1"/>
      <c r="D62" s="1"/>
      <c r="E62" s="1"/>
      <c r="F62" s="1"/>
      <c r="G62" s="1"/>
      <c r="H62" s="1">
        <v>1.7</v>
      </c>
      <c r="I62" s="3">
        <f t="shared" si="2"/>
        <v>13.148950000000003</v>
      </c>
      <c r="J62" s="3">
        <f t="shared" si="3"/>
        <v>13.148950000000003</v>
      </c>
      <c r="K62" s="1"/>
      <c r="L62" s="1"/>
    </row>
    <row r="63" spans="1:12" ht="22" customHeight="1">
      <c r="A63" s="1"/>
      <c r="B63" s="1"/>
      <c r="C63" s="1"/>
      <c r="D63" s="1"/>
      <c r="E63" s="1"/>
      <c r="F63" s="1"/>
      <c r="G63" s="1"/>
      <c r="H63" s="1">
        <v>1.8</v>
      </c>
      <c r="I63" s="3">
        <f t="shared" si="2"/>
        <v>13.251199999999997</v>
      </c>
      <c r="J63" s="3">
        <f t="shared" si="3"/>
        <v>13.251199999999997</v>
      </c>
      <c r="K63" s="1"/>
      <c r="L63" s="1"/>
    </row>
    <row r="64" spans="1:12" ht="22" customHeight="1">
      <c r="A64" s="1"/>
      <c r="B64" s="1"/>
      <c r="C64" s="1"/>
      <c r="D64" s="1"/>
      <c r="E64" s="1"/>
      <c r="F64" s="1"/>
      <c r="G64" s="1"/>
      <c r="H64" s="1">
        <v>1.9</v>
      </c>
      <c r="I64" s="3">
        <f t="shared" si="2"/>
        <v>13.208949999999998</v>
      </c>
      <c r="J64" s="3">
        <f t="shared" si="3"/>
        <v>13.20895</v>
      </c>
      <c r="K64" s="1"/>
      <c r="L64" s="1"/>
    </row>
    <row r="65" spans="1:12" ht="22" customHeight="1">
      <c r="A65" s="1"/>
      <c r="B65" s="1"/>
      <c r="C65" s="1"/>
      <c r="D65" s="1"/>
      <c r="E65" s="1"/>
      <c r="F65" s="1"/>
      <c r="G65" s="1"/>
      <c r="H65" s="1">
        <v>2</v>
      </c>
      <c r="I65" s="3">
        <f t="shared" si="2"/>
        <v>13</v>
      </c>
      <c r="J65" s="3">
        <f t="shared" si="3"/>
        <v>13</v>
      </c>
      <c r="K65" s="1"/>
      <c r="L65" s="1"/>
    </row>
    <row r="66" spans="1:12" ht="22" customHeight="1">
      <c r="A66" s="1"/>
      <c r="B66" s="1"/>
      <c r="C66" s="1"/>
      <c r="D66" s="1"/>
      <c r="E66" s="1"/>
      <c r="F66" s="1"/>
      <c r="G66" s="1"/>
      <c r="H66" s="1">
        <v>2.1</v>
      </c>
      <c r="I66" s="3">
        <f t="shared" si="2"/>
        <v>12.600949999999997</v>
      </c>
      <c r="J66" s="3">
        <f t="shared" si="3"/>
        <v>12.600949999999997</v>
      </c>
      <c r="K66" s="1"/>
      <c r="L66" s="1"/>
    </row>
    <row r="67" spans="1:12" ht="22" customHeight="1">
      <c r="A67" s="1"/>
      <c r="B67" s="1"/>
      <c r="C67" s="1"/>
      <c r="D67" s="1"/>
      <c r="E67" s="1"/>
      <c r="F67" s="1"/>
      <c r="G67" s="1"/>
      <c r="H67" s="1">
        <v>2.2000000000000002</v>
      </c>
      <c r="I67" s="3">
        <f t="shared" si="2"/>
        <v>11.9872</v>
      </c>
      <c r="J67" s="3">
        <f t="shared" si="3"/>
        <v>11.9872</v>
      </c>
      <c r="K67" s="1"/>
      <c r="L67" s="1"/>
    </row>
    <row r="68" spans="1:12" ht="22" customHeight="1">
      <c r="A68" s="1"/>
      <c r="B68" s="1"/>
      <c r="C68" s="1"/>
      <c r="D68" s="1"/>
      <c r="E68" s="1"/>
      <c r="F68" s="1"/>
      <c r="G68" s="1"/>
      <c r="H68" s="1">
        <v>2.2999999999999998</v>
      </c>
      <c r="I68" s="3">
        <f t="shared" si="2"/>
        <v>11.132950000000001</v>
      </c>
      <c r="J68" s="3">
        <f t="shared" si="3"/>
        <v>11.132949999999997</v>
      </c>
      <c r="K68" s="1"/>
      <c r="L68" s="1"/>
    </row>
    <row r="69" spans="1:12" ht="22" customHeight="1">
      <c r="A69" s="1"/>
      <c r="B69" s="1"/>
      <c r="C69" s="1"/>
      <c r="D69" s="1"/>
      <c r="E69" s="1"/>
      <c r="F69" s="1"/>
      <c r="G69" s="1"/>
      <c r="H69" s="1">
        <v>2.4</v>
      </c>
      <c r="I69" s="3">
        <f t="shared" si="2"/>
        <v>10.011200000000004</v>
      </c>
      <c r="J69" s="3">
        <f t="shared" si="3"/>
        <v>10.011200000000002</v>
      </c>
      <c r="K69" s="1"/>
      <c r="L69" s="1"/>
    </row>
    <row r="70" spans="1:12" ht="22" customHeight="1">
      <c r="A70" s="1"/>
      <c r="B70" s="1"/>
      <c r="C70" s="1"/>
      <c r="D70" s="1"/>
      <c r="E70" s="1"/>
      <c r="F70" s="1"/>
      <c r="G70" s="1"/>
      <c r="H70" s="1">
        <v>2.5</v>
      </c>
      <c r="I70" s="3">
        <f t="shared" si="2"/>
        <v>8.59375</v>
      </c>
      <c r="J70" s="3">
        <f t="shared" si="3"/>
        <v>8.59375</v>
      </c>
      <c r="K70" s="1"/>
      <c r="L70" s="1"/>
    </row>
    <row r="71" spans="1:12" ht="22" customHeight="1">
      <c r="A71" s="1"/>
      <c r="B71" s="1"/>
      <c r="C71" s="1"/>
      <c r="D71" s="1"/>
      <c r="E71" s="1"/>
      <c r="F71" s="1"/>
      <c r="G71" s="1"/>
      <c r="H71" s="1">
        <v>2.6</v>
      </c>
      <c r="I71" s="3">
        <f t="shared" si="2"/>
        <v>6.8511999999999977</v>
      </c>
      <c r="J71" s="3">
        <f t="shared" si="3"/>
        <v>6.8512000000000004</v>
      </c>
      <c r="K71" s="1"/>
      <c r="L71" s="1"/>
    </row>
    <row r="72" spans="1:12" ht="22" customHeight="1">
      <c r="A72" s="1"/>
      <c r="B72" s="1"/>
      <c r="C72" s="1"/>
      <c r="D72" s="1"/>
      <c r="E72" s="1"/>
      <c r="F72" s="1"/>
      <c r="G72" s="1"/>
      <c r="H72" s="1">
        <v>2.7</v>
      </c>
      <c r="I72" s="3">
        <f t="shared" si="2"/>
        <v>4.7529499999999958</v>
      </c>
      <c r="J72" s="3">
        <f t="shared" si="3"/>
        <v>4.7529499999999985</v>
      </c>
      <c r="K72" s="1"/>
      <c r="L72" s="1"/>
    </row>
    <row r="73" spans="1:12" ht="22" customHeight="1">
      <c r="A73" s="1"/>
      <c r="B73" s="1"/>
      <c r="C73" s="1"/>
      <c r="D73" s="1"/>
      <c r="E73" s="1"/>
      <c r="F73" s="1"/>
      <c r="G73" s="1"/>
      <c r="H73" s="1">
        <v>2.8</v>
      </c>
      <c r="I73" s="3">
        <f t="shared" si="2"/>
        <v>2.2672000000000057</v>
      </c>
      <c r="J73" s="3">
        <f t="shared" si="3"/>
        <v>2.2672000000000025</v>
      </c>
      <c r="K73" s="1"/>
      <c r="L73" s="1"/>
    </row>
    <row r="74" spans="1:12" ht="22" customHeight="1">
      <c r="A74" s="1"/>
      <c r="B74" s="1"/>
      <c r="C74" s="1"/>
      <c r="D74" s="1"/>
      <c r="E74" s="1"/>
      <c r="F74" s="1"/>
      <c r="G74" s="1"/>
      <c r="H74" s="1">
        <v>2.9</v>
      </c>
      <c r="I74" s="3">
        <f t="shared" si="2"/>
        <v>-0.6390499999999979</v>
      </c>
      <c r="J74" s="3">
        <f t="shared" si="3"/>
        <v>-0.6390499999999939</v>
      </c>
      <c r="K74" s="1"/>
      <c r="L74" s="1"/>
    </row>
    <row r="75" spans="1:12" ht="22" customHeight="1">
      <c r="A75" s="1"/>
      <c r="B75" s="1"/>
      <c r="C75" s="1"/>
      <c r="D75" s="1"/>
      <c r="E75" s="1"/>
      <c r="F75" s="1"/>
      <c r="G75" s="1"/>
      <c r="H75" s="1">
        <v>3</v>
      </c>
      <c r="I75" s="3">
        <f t="shared" si="2"/>
        <v>-4</v>
      </c>
      <c r="J75" s="3">
        <f t="shared" si="3"/>
        <v>-4</v>
      </c>
      <c r="K75" s="1"/>
      <c r="L75" s="1"/>
    </row>
    <row r="76" spans="1:12" ht="22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22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22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22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22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22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2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2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2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2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2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2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2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2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2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2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2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2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2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2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2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2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2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2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2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2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2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2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2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2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2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2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2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2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2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</sheetData>
  <mergeCells count="4">
    <mergeCell ref="A1:H1"/>
    <mergeCell ref="A2:H2"/>
    <mergeCell ref="A21:H21"/>
    <mergeCell ref="A22:H22"/>
  </mergeCells>
  <phoneticPr fontId="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10"/>
  <sheetViews>
    <sheetView showGridLines="0" zoomScale="90" zoomScaleNormal="90" workbookViewId="0">
      <pane ySplit="4" topLeftCell="A5" activePane="bottomLeft" state="frozen"/>
      <selection pane="bottomLeft" sqref="A1:H1"/>
    </sheetView>
  </sheetViews>
  <sheetFormatPr defaultRowHeight="14"/>
  <cols>
    <col min="1" max="8" width="18.58203125" customWidth="1"/>
    <col min="9" max="12" width="16" customWidth="1"/>
  </cols>
  <sheetData>
    <row r="1" spans="1:13" ht="28" customHeight="1">
      <c r="A1" s="10" t="s">
        <v>78</v>
      </c>
      <c r="B1" s="11"/>
      <c r="C1" s="11"/>
      <c r="D1" s="11"/>
      <c r="E1" s="11"/>
      <c r="F1" s="11"/>
      <c r="G1" s="11"/>
      <c r="H1" s="11"/>
      <c r="I1" s="1"/>
      <c r="J1" s="1"/>
      <c r="K1" s="1"/>
      <c r="L1" s="1"/>
      <c r="M1" s="4"/>
    </row>
    <row r="2" spans="1:13" ht="32" customHeight="1">
      <c r="A2" s="12" t="s">
        <v>79</v>
      </c>
      <c r="B2" s="11"/>
      <c r="C2" s="11"/>
      <c r="D2" s="11"/>
      <c r="E2" s="11"/>
      <c r="F2" s="11"/>
      <c r="G2" s="11"/>
      <c r="H2" s="11"/>
      <c r="I2" s="1"/>
      <c r="J2" s="1"/>
      <c r="K2" s="1"/>
      <c r="L2" s="1"/>
      <c r="M2" s="4"/>
    </row>
    <row r="3" spans="1:13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"/>
    </row>
    <row r="4" spans="1:13" ht="22" customHeight="1">
      <c r="A4" s="1" t="s">
        <v>80</v>
      </c>
      <c r="B4" s="1" t="s">
        <v>81</v>
      </c>
      <c r="C4" s="1" t="s">
        <v>82</v>
      </c>
      <c r="D4" s="1" t="s">
        <v>83</v>
      </c>
      <c r="E4" s="1"/>
      <c r="F4" s="1"/>
      <c r="G4" s="1"/>
      <c r="H4" s="1"/>
      <c r="I4" s="1"/>
      <c r="J4" s="2" t="s">
        <v>84</v>
      </c>
      <c r="K4" s="2" t="s">
        <v>85</v>
      </c>
      <c r="L4" s="2" t="s">
        <v>86</v>
      </c>
      <c r="M4" s="2" t="s">
        <v>87</v>
      </c>
    </row>
    <row r="5" spans="1:13" ht="22" customHeight="1">
      <c r="A5" s="9">
        <v>1E-3</v>
      </c>
      <c r="B5" s="9">
        <v>1E-8</v>
      </c>
      <c r="C5" s="9">
        <v>100</v>
      </c>
      <c r="D5" s="1" t="s">
        <v>88</v>
      </c>
      <c r="E5" s="1"/>
      <c r="F5" s="1"/>
      <c r="G5" s="1"/>
      <c r="H5" s="1"/>
      <c r="I5" s="1"/>
      <c r="J5" s="1">
        <v>-2</v>
      </c>
      <c r="K5" s="3">
        <f>NM_Lagrange(E3_插值!$A$5:$B$9,J5)</f>
        <v>1</v>
      </c>
      <c r="L5" s="3">
        <f>NM_D1(E3_插值!$A$5:$B$9,J5,$A$5)</f>
        <v>9.0000039999991177</v>
      </c>
      <c r="M5" s="6">
        <f>NM_D2(E3_插值!$A$5:$B$9,J5,$A$5)</f>
        <v>-19.000001000524236</v>
      </c>
    </row>
    <row r="6" spans="1:13" ht="22" customHeight="1">
      <c r="A6" s="1"/>
      <c r="B6" s="1"/>
      <c r="C6" s="1"/>
      <c r="D6" s="1"/>
      <c r="E6" s="1"/>
      <c r="F6" s="1"/>
      <c r="G6" s="1"/>
      <c r="H6" s="1"/>
      <c r="I6" s="1"/>
      <c r="J6" s="1">
        <v>-1.9</v>
      </c>
      <c r="K6" s="3">
        <f>NM_Lagrange(E3_插值!$A$5:$B$9,J6)</f>
        <v>1.8089500000000009</v>
      </c>
      <c r="L6" s="3">
        <f>NM_D1(E3_插值!$A$5:$B$9,J6,$A$5)</f>
        <v>7.2180037999989288</v>
      </c>
      <c r="M6" s="6">
        <f>NM_D2(E3_插值!$A$5:$B$9,J6,$A$5)</f>
        <v>-16.660001000534663</v>
      </c>
    </row>
    <row r="7" spans="1:13" ht="22" customHeight="1">
      <c r="A7" s="1"/>
      <c r="B7" s="1"/>
      <c r="C7" s="1"/>
      <c r="D7" s="1"/>
      <c r="E7" s="1"/>
      <c r="F7" s="1"/>
      <c r="G7" s="1"/>
      <c r="H7" s="1"/>
      <c r="I7" s="1"/>
      <c r="J7" s="1">
        <v>-1.8</v>
      </c>
      <c r="K7" s="3">
        <f>NM_Lagrange(E3_插值!$A$5:$B$9,J7)</f>
        <v>2.4512</v>
      </c>
      <c r="L7" s="3">
        <f>NM_D1(E3_插值!$A$5:$B$9,J7,$A$5)</f>
        <v>5.6640035999995231</v>
      </c>
      <c r="M7" s="6">
        <f>NM_D2(E3_插值!$A$5:$B$9,J7,$A$5)</f>
        <v>-14.440001000703973</v>
      </c>
    </row>
    <row r="8" spans="1:13" ht="22" customHeight="1">
      <c r="A8" s="2" t="s">
        <v>89</v>
      </c>
      <c r="B8" s="2" t="s">
        <v>90</v>
      </c>
      <c r="C8" s="2" t="s">
        <v>91</v>
      </c>
      <c r="D8" s="2" t="s">
        <v>92</v>
      </c>
      <c r="E8" s="2" t="s">
        <v>93</v>
      </c>
      <c r="F8" s="2" t="s">
        <v>94</v>
      </c>
      <c r="G8" s="2" t="s">
        <v>95</v>
      </c>
      <c r="H8" s="1"/>
      <c r="I8" s="1"/>
      <c r="J8" s="1">
        <v>-1.7</v>
      </c>
      <c r="K8" s="3">
        <f>NM_Lagrange(E3_插值!$A$5:$B$9,J8)</f>
        <v>2.9489500000000004</v>
      </c>
      <c r="L8" s="3">
        <f>NM_D1(E3_插值!$A$5:$B$9,J8,$A$5)</f>
        <v>4.3260033999994452</v>
      </c>
      <c r="M8" s="6">
        <f>NM_D2(E3_插值!$A$5:$B$9,J8,$A$5)</f>
        <v>-12.340001001032164</v>
      </c>
    </row>
    <row r="9" spans="1:13" ht="22" customHeight="1">
      <c r="A9" s="1" t="s">
        <v>86</v>
      </c>
      <c r="B9" s="1">
        <v>-1.1000000000000001</v>
      </c>
      <c r="C9" s="1">
        <v>-0.95</v>
      </c>
      <c r="D9" s="3">
        <f>NM_Root("Bisection",4,B9,C9,$B$5,$C$5,E3_插值!$A$5:$B$9,$A$5)</f>
        <v>-0.99999799430370329</v>
      </c>
      <c r="E9" s="3">
        <f>NM_Lagrange(E3_插值!$A$5:$B$9,D9)</f>
        <v>3.9999999999979892</v>
      </c>
      <c r="F9" s="8">
        <f>NM_D2(E3_插值!$A$5:$B$9,D9,$A$5)</f>
        <v>-0.99997693281395073</v>
      </c>
      <c r="G9" s="3" t="str">
        <f>IF(F9&gt;0,"局部極小",IF(F9&lt;0,"局部極大","需另判斷"))</f>
        <v>局部極大</v>
      </c>
      <c r="H9" s="1"/>
      <c r="I9" s="1"/>
      <c r="J9" s="1">
        <v>-1.6</v>
      </c>
      <c r="K9" s="3">
        <f>NM_Lagrange(E3_插值!$A$5:$B$9,J9)</f>
        <v>3.3231999999999995</v>
      </c>
      <c r="L9" s="3">
        <f>NM_D1(E3_插值!$A$5:$B$9,J9,$A$5)</f>
        <v>3.1920031999992382</v>
      </c>
      <c r="M9" s="6">
        <f>NM_D2(E3_插值!$A$5:$B$9,J9,$A$5)</f>
        <v>-10.360000999298791</v>
      </c>
    </row>
    <row r="10" spans="1:13" ht="22" customHeight="1">
      <c r="A10" s="1" t="s">
        <v>86</v>
      </c>
      <c r="B10" s="1">
        <v>-0.9</v>
      </c>
      <c r="C10" s="1">
        <v>-0.7</v>
      </c>
      <c r="D10" s="3">
        <f>NM_Root("Bisection",4,B10,C10,$B$5,$C$5,E3_插值!$A$5:$B$9,$A$5)</f>
        <v>-0.82287741303443918</v>
      </c>
      <c r="E10" s="3">
        <f>NM_Lagrange(E3_插值!$A$5:$B$9,D10)</f>
        <v>3.9949352056384142</v>
      </c>
      <c r="F10" s="8">
        <f>NM_D2(E3_插值!$A$5:$B$9,D10,$A$5)</f>
        <v>0.93723557803571111</v>
      </c>
      <c r="G10" s="3" t="str">
        <f>IF(F10&gt;0,"局部極小",IF(F10&lt;0,"局部極大","需另判斷"))</f>
        <v>局部極小</v>
      </c>
      <c r="H10" s="1"/>
      <c r="I10" s="1"/>
      <c r="J10" s="1">
        <v>-1.5</v>
      </c>
      <c r="K10" s="3">
        <f>NM_Lagrange(E3_插值!$A$5:$B$9,J10)</f>
        <v>3.5937499999999996</v>
      </c>
      <c r="L10" s="3">
        <f>NM_D1(E3_插值!$A$5:$B$9,J10,$A$5)</f>
        <v>2.2500030000003335</v>
      </c>
      <c r="M10" s="6">
        <f>NM_D2(E3_插值!$A$5:$B$9,J10,$A$5)</f>
        <v>-8.5000009990565673</v>
      </c>
    </row>
    <row r="11" spans="1:13" ht="22" customHeight="1">
      <c r="A11" s="1" t="s">
        <v>86</v>
      </c>
      <c r="B11" s="1">
        <v>1.7</v>
      </c>
      <c r="C11" s="1">
        <v>1.9</v>
      </c>
      <c r="D11" s="3">
        <f>NM_Root("Bisection",4,B11,C11,$B$5,$C$5,E3_插值!$A$5:$B$9,$A$5)</f>
        <v>1.8228754118084902</v>
      </c>
      <c r="E11" s="3">
        <f>NM_Lagrange(E3_插值!$A$5:$B$9,D11)</f>
        <v>13.255064794362589</v>
      </c>
      <c r="F11" s="8">
        <f>NM_D2(E3_插值!$A$5:$B$9,D11,$A$5)</f>
        <v>-14.937249602553493</v>
      </c>
      <c r="G11" s="3" t="str">
        <f>IF(F11&gt;0,"局部極小",IF(F11&lt;0,"局部極大","需另判斷"))</f>
        <v>局部極大</v>
      </c>
      <c r="H11" s="1"/>
      <c r="I11" s="1"/>
      <c r="J11" s="1">
        <v>-1.4</v>
      </c>
      <c r="K11" s="3">
        <f>NM_Lagrange(E3_插值!$A$5:$B$9,J11)</f>
        <v>3.7792000000000003</v>
      </c>
      <c r="L11" s="3">
        <f>NM_D1(E3_插值!$A$5:$B$9,J11,$A$5)</f>
        <v>1.4880027999997214</v>
      </c>
      <c r="M11" s="6">
        <f>NM_D2(E3_插值!$A$5:$B$9,J11,$A$5)</f>
        <v>-6.7600010003054933</v>
      </c>
    </row>
    <row r="12" spans="1:13" ht="22" customHeight="1">
      <c r="A12" s="1" t="s">
        <v>87</v>
      </c>
      <c r="B12" s="1">
        <v>-1</v>
      </c>
      <c r="C12" s="1">
        <v>-0.8</v>
      </c>
      <c r="D12" s="3">
        <f>NM_Root("Bisection",5,B12,C12,$B$5,$C$5,E3_插值!$A$5:$B$9,$A$5)</f>
        <v>-0.91287083774805089</v>
      </c>
      <c r="E12" s="3">
        <f>NM_Lagrange(E3_插值!$A$5:$B$9,D12)</f>
        <v>3.9974983196627694</v>
      </c>
      <c r="F12" s="8">
        <f>NM_D2(E3_插值!$A$5:$B$9,D12,$A$5)</f>
        <v>1.3322676295501878E-9</v>
      </c>
      <c r="G12" s="1" t="s">
        <v>96</v>
      </c>
      <c r="H12" s="1"/>
      <c r="I12" s="1"/>
      <c r="J12" s="1">
        <v>-1.3</v>
      </c>
      <c r="K12" s="3">
        <f>NM_Lagrange(E3_插值!$A$5:$B$9,J12)</f>
        <v>3.8969499999999995</v>
      </c>
      <c r="L12" s="3">
        <f>NM_D1(E3_插值!$A$5:$B$9,J12,$A$5)</f>
        <v>0.89400259999972143</v>
      </c>
      <c r="M12" s="6">
        <f>NM_D2(E3_插值!$A$5:$B$9,J12,$A$5)</f>
        <v>-5.1400009977164984</v>
      </c>
    </row>
    <row r="13" spans="1:13" ht="22" customHeight="1">
      <c r="A13" s="1" t="s">
        <v>87</v>
      </c>
      <c r="B13" s="1">
        <v>0.8</v>
      </c>
      <c r="C13" s="1">
        <v>1</v>
      </c>
      <c r="D13" s="3">
        <f>NM_Root("Bisection",5,B13,C13,$B$5,$C$5,E3_插值!$A$5:$B$9,$A$5)</f>
        <v>0.91287083774805089</v>
      </c>
      <c r="E13" s="3">
        <f>NM_Lagrange(E3_插值!$A$5:$B$9,D13)</f>
        <v>9.4747233461510749</v>
      </c>
      <c r="F13" s="8">
        <f>NM_D2(E3_插值!$A$5:$B$9,D13,$A$5)</f>
        <v>0</v>
      </c>
      <c r="G13" s="1" t="s">
        <v>96</v>
      </c>
      <c r="H13" s="1"/>
      <c r="I13" s="1"/>
      <c r="J13" s="1">
        <v>-1.2</v>
      </c>
      <c r="K13" s="3">
        <f>NM_Lagrange(E3_插值!$A$5:$B$9,J13)</f>
        <v>3.9632000000000005</v>
      </c>
      <c r="L13" s="3">
        <f>NM_D1(E3_插值!$A$5:$B$9,J13,$A$5)</f>
        <v>0.45600239999998848</v>
      </c>
      <c r="M13" s="6">
        <f>NM_D2(E3_插值!$A$5:$B$9,J13,$A$5)</f>
        <v>-3.6400010019477236</v>
      </c>
    </row>
    <row r="14" spans="1:13" ht="22" customHeight="1">
      <c r="A14" s="1"/>
      <c r="B14" s="1"/>
      <c r="C14" s="1"/>
      <c r="D14" s="1"/>
      <c r="E14" s="1"/>
      <c r="F14" s="1"/>
      <c r="G14" s="1"/>
      <c r="H14" s="1"/>
      <c r="I14" s="1"/>
      <c r="J14" s="1">
        <v>-1.1000000000000001</v>
      </c>
      <c r="K14" s="3">
        <f>NM_Lagrange(E3_插值!$A$5:$B$9,J14)</f>
        <v>3.9929499999999991</v>
      </c>
      <c r="L14" s="3">
        <f>NM_D1(E3_插值!$A$5:$B$9,J14,$A$5)</f>
        <v>0.16200219999995547</v>
      </c>
      <c r="M14" s="6">
        <f>NM_D2(E3_插值!$A$5:$B$9,J14,$A$5)</f>
        <v>-2.2600009974560464</v>
      </c>
    </row>
    <row r="15" spans="1:13" ht="22" customHeight="1">
      <c r="A15" s="1"/>
      <c r="B15" s="1"/>
      <c r="C15" s="1"/>
      <c r="D15" s="1"/>
      <c r="E15" s="1"/>
      <c r="F15" s="1"/>
      <c r="G15" s="1"/>
      <c r="H15" s="1"/>
      <c r="I15" s="1"/>
      <c r="J15" s="1">
        <v>-1</v>
      </c>
      <c r="K15" s="3">
        <f>NM_Lagrange(E3_插值!$A$5:$B$9,J15)</f>
        <v>4</v>
      </c>
      <c r="L15" s="3">
        <f>NM_D1(E3_插值!$A$5:$B$9,J15,$A$5)</f>
        <v>1.9999992773023223E-6</v>
      </c>
      <c r="M15" s="6">
        <f>NM_D2(E3_插值!$A$5:$B$9,J15,$A$5)</f>
        <v>-1.000001001116857</v>
      </c>
    </row>
    <row r="16" spans="1:13" ht="22" customHeight="1">
      <c r="A16" s="2" t="s">
        <v>97</v>
      </c>
      <c r="B16" s="2" t="s">
        <v>75</v>
      </c>
      <c r="C16" s="2" t="s">
        <v>93</v>
      </c>
      <c r="D16" s="1"/>
      <c r="E16" s="1"/>
      <c r="F16" s="1"/>
      <c r="G16" s="1"/>
      <c r="H16" s="1"/>
      <c r="I16" s="1"/>
      <c r="J16" s="1">
        <v>-0.9</v>
      </c>
      <c r="K16" s="3">
        <f>NM_Lagrange(E3_插值!$A$5:$B$9,J16)</f>
        <v>3.99695</v>
      </c>
      <c r="L16" s="3">
        <f>NM_D1(E3_插值!$A$5:$B$9,J16,$A$5)</f>
        <v>-4.1998200000170627E-2</v>
      </c>
      <c r="M16" s="6">
        <f>NM_D2(E3_插值!$A$5:$B$9,J16,$A$5)</f>
        <v>0.13999900039252111</v>
      </c>
    </row>
    <row r="17" spans="1:13" ht="22" customHeight="1">
      <c r="A17" s="1" t="s">
        <v>98</v>
      </c>
      <c r="B17" s="1">
        <v>-2</v>
      </c>
      <c r="C17" s="3">
        <f>NM_Lagrange(E3_插值!$A$5:$B$9,B17)</f>
        <v>1</v>
      </c>
      <c r="D17" s="1"/>
      <c r="E17" s="1" t="s">
        <v>99</v>
      </c>
      <c r="F17" s="3">
        <f>MAX(C17:C21)</f>
        <v>13.255064794362589</v>
      </c>
      <c r="G17" s="1"/>
      <c r="H17" s="1"/>
      <c r="I17" s="1"/>
      <c r="J17" s="1">
        <v>-0.8</v>
      </c>
      <c r="K17" s="3">
        <f>NM_Lagrange(E3_插值!$A$5:$B$9,J17)</f>
        <v>3.9951999999999992</v>
      </c>
      <c r="L17" s="3">
        <f>NM_D1(E3_插值!$A$5:$B$9,J17,$A$5)</f>
        <v>2.4001600000156387E-2</v>
      </c>
      <c r="M17" s="6">
        <f>NM_D2(E3_插值!$A$5:$B$9,J17,$A$5)</f>
        <v>1.1599990012989281</v>
      </c>
    </row>
    <row r="18" spans="1:13" ht="22" customHeight="1">
      <c r="A18" s="1" t="s">
        <v>100</v>
      </c>
      <c r="B18" s="1">
        <v>3</v>
      </c>
      <c r="C18" s="3">
        <f>NM_Lagrange(E3_插值!$A$5:$B$9,B18)</f>
        <v>-4</v>
      </c>
      <c r="D18" s="1"/>
      <c r="E18" s="1"/>
      <c r="F18" s="1"/>
      <c r="G18" s="1"/>
      <c r="H18" s="1"/>
      <c r="I18" s="1"/>
      <c r="J18" s="1">
        <v>-0.7</v>
      </c>
      <c r="K18" s="3">
        <f>NM_Lagrange(E3_插值!$A$5:$B$9,J18)</f>
        <v>4.00495</v>
      </c>
      <c r="L18" s="3">
        <f>NM_D1(E3_插值!$A$5:$B$9,J18,$A$5)</f>
        <v>0.18600139999946919</v>
      </c>
      <c r="M18" s="6">
        <f>NM_D2(E3_插值!$A$5:$B$9,J18,$A$5)</f>
        <v>2.0599989998260071</v>
      </c>
    </row>
    <row r="19" spans="1:13" ht="22" customHeight="1">
      <c r="A19" s="1" t="s">
        <v>101</v>
      </c>
      <c r="B19" s="3">
        <f t="shared" ref="B19:C21" si="0">D9</f>
        <v>-0.99999799430370329</v>
      </c>
      <c r="C19" s="3">
        <f t="shared" si="0"/>
        <v>3.9999999999979892</v>
      </c>
      <c r="D19" s="1"/>
      <c r="E19" s="1"/>
      <c r="F19" s="1"/>
      <c r="G19" s="1"/>
      <c r="H19" s="1"/>
      <c r="I19" s="1"/>
      <c r="J19" s="1">
        <v>-0.6</v>
      </c>
      <c r="K19" s="3">
        <f>NM_Lagrange(E3_插值!$A$5:$B$9,J19)</f>
        <v>4.0352000000000006</v>
      </c>
      <c r="L19" s="3">
        <f>NM_D1(E3_插值!$A$5:$B$9,J19,$A$5)</f>
        <v>0.43200120000008724</v>
      </c>
      <c r="M19" s="6">
        <f>NM_D2(E3_插值!$A$5:$B$9,J19,$A$5)</f>
        <v>2.8399990004146503</v>
      </c>
    </row>
    <row r="20" spans="1:13" ht="22" customHeight="1">
      <c r="A20" s="1" t="s">
        <v>102</v>
      </c>
      <c r="B20" s="3">
        <f t="shared" si="0"/>
        <v>-0.82287741303443918</v>
      </c>
      <c r="C20" s="3">
        <f t="shared" si="0"/>
        <v>3.9949352056384142</v>
      </c>
      <c r="D20" s="1"/>
      <c r="E20" s="1"/>
      <c r="F20" s="1"/>
      <c r="G20" s="1"/>
      <c r="H20" s="1"/>
      <c r="I20" s="1"/>
      <c r="J20" s="1">
        <v>-0.5</v>
      </c>
      <c r="K20" s="3">
        <f>NM_Lagrange(E3_插值!$A$5:$B$9,J20)</f>
        <v>4.09375</v>
      </c>
      <c r="L20" s="3">
        <f>NM_D1(E3_插值!$A$5:$B$9,J20,$A$5)</f>
        <v>0.75000100000099934</v>
      </c>
      <c r="M20" s="6">
        <f>NM_D2(E3_插值!$A$5:$B$9,J20,$A$5)</f>
        <v>3.4999989999562331</v>
      </c>
    </row>
    <row r="21" spans="1:13" ht="22" customHeight="1">
      <c r="A21" s="1" t="s">
        <v>103</v>
      </c>
      <c r="B21" s="3">
        <f t="shared" si="0"/>
        <v>1.8228754118084902</v>
      </c>
      <c r="C21" s="3">
        <f t="shared" si="0"/>
        <v>13.255064794362589</v>
      </c>
      <c r="D21" s="1"/>
      <c r="E21" s="1"/>
      <c r="F21" s="1"/>
      <c r="G21" s="1"/>
      <c r="H21" s="1"/>
      <c r="I21" s="1"/>
      <c r="J21" s="1">
        <v>-0.4</v>
      </c>
      <c r="K21" s="3">
        <f>NM_Lagrange(E3_插值!$A$5:$B$9,J21)</f>
        <v>4.1871999999999998</v>
      </c>
      <c r="L21" s="3">
        <f>NM_D1(E3_插值!$A$5:$B$9,J21,$A$5)</f>
        <v>1.1280008000005282</v>
      </c>
      <c r="M21" s="6">
        <f>NM_D2(E3_插值!$A$5:$B$9,J21,$A$5)</f>
        <v>4.0399990002271124</v>
      </c>
    </row>
    <row r="22" spans="1:13" ht="22" customHeight="1">
      <c r="A22" s="1"/>
      <c r="B22" s="1"/>
      <c r="C22" s="1"/>
      <c r="D22" s="1"/>
      <c r="E22" s="1"/>
      <c r="F22" s="1"/>
      <c r="G22" s="1"/>
      <c r="H22" s="1"/>
      <c r="I22" s="1"/>
      <c r="J22" s="1">
        <v>-0.3</v>
      </c>
      <c r="K22" s="3">
        <f>NM_Lagrange(E3_插值!$A$5:$B$9,J22)</f>
        <v>4.3209499999999998</v>
      </c>
      <c r="L22" s="3">
        <f>NM_D1(E3_插值!$A$5:$B$9,J22,$A$5)</f>
        <v>1.554000600000105</v>
      </c>
      <c r="M22" s="6">
        <f>NM_D2(E3_插值!$A$5:$B$9,J22,$A$5)</f>
        <v>4.4599990003391099</v>
      </c>
    </row>
    <row r="23" spans="1:13" ht="22" customHeight="1">
      <c r="A23" s="1"/>
      <c r="B23" s="1"/>
      <c r="C23" s="1"/>
      <c r="D23" s="1"/>
      <c r="E23" s="1"/>
      <c r="F23" s="1"/>
      <c r="G23" s="1"/>
      <c r="H23" s="1"/>
      <c r="I23" s="1"/>
      <c r="J23" s="1">
        <v>-0.2</v>
      </c>
      <c r="K23" s="3">
        <f>NM_Lagrange(E3_插值!$A$5:$B$9,J23)</f>
        <v>4.4992000000000019</v>
      </c>
      <c r="L23" s="3">
        <f>NM_D1(E3_插值!$A$5:$B$9,J23,$A$5)</f>
        <v>2.0160003999998288</v>
      </c>
      <c r="M23" s="6">
        <f>NM_D2(E3_插值!$A$5:$B$9,J23,$A$5)</f>
        <v>4.7599989967395118</v>
      </c>
    </row>
    <row r="24" spans="1:13" ht="32" customHeight="1">
      <c r="A24" s="13" t="s">
        <v>104</v>
      </c>
      <c r="B24" s="11"/>
      <c r="C24" s="11"/>
      <c r="D24" s="11"/>
      <c r="E24" s="11"/>
      <c r="F24" s="11"/>
      <c r="G24" s="11"/>
      <c r="H24" s="11"/>
      <c r="I24" s="1"/>
      <c r="J24" s="1">
        <v>-0.1</v>
      </c>
      <c r="K24" s="3">
        <f>NM_Lagrange(E3_插值!$A$5:$B$9,J24)</f>
        <v>4.7249500000000015</v>
      </c>
      <c r="L24" s="3">
        <f>NM_D1(E3_插值!$A$5:$B$9,J24,$A$5)</f>
        <v>2.5020002000006869</v>
      </c>
      <c r="M24" s="6">
        <f>NM_D2(E3_插值!$A$5:$B$9,J24,$A$5)</f>
        <v>4.9399989965337454</v>
      </c>
    </row>
    <row r="25" spans="1:13" ht="32" customHeight="1">
      <c r="A25" s="13" t="s">
        <v>105</v>
      </c>
      <c r="B25" s="11"/>
      <c r="C25" s="11"/>
      <c r="D25" s="11"/>
      <c r="E25" s="11"/>
      <c r="F25" s="11"/>
      <c r="G25" s="11"/>
      <c r="H25" s="11"/>
      <c r="I25" s="1"/>
      <c r="J25" s="1">
        <v>0</v>
      </c>
      <c r="K25" s="3">
        <f>NM_Lagrange(E3_插值!$A$5:$B$9,J25)</f>
        <v>5</v>
      </c>
      <c r="L25" s="3">
        <f>NM_D1(E3_插值!$A$5:$B$9,J25,$A$5)</f>
        <v>3.0000000000001137</v>
      </c>
      <c r="M25" s="6">
        <f>NM_D2(E3_插值!$A$5:$B$9,J25,$A$5)</f>
        <v>4.999998997945454</v>
      </c>
    </row>
    <row r="26" spans="1:13" ht="32" customHeight="1">
      <c r="A26" s="13" t="s">
        <v>106</v>
      </c>
      <c r="B26" s="11"/>
      <c r="C26" s="11"/>
      <c r="D26" s="11"/>
      <c r="E26" s="11"/>
      <c r="F26" s="11"/>
      <c r="G26" s="11"/>
      <c r="H26" s="11"/>
      <c r="I26" s="1"/>
      <c r="J26" s="1">
        <v>0.1</v>
      </c>
      <c r="K26" s="3">
        <f>NM_Lagrange(E3_插值!$A$5:$B$9,J26)</f>
        <v>5.3249500000000012</v>
      </c>
      <c r="L26" s="3">
        <f>NM_D1(E3_插值!$A$5:$B$9,J26,$A$5)</f>
        <v>3.4979998000004286</v>
      </c>
      <c r="M26" s="6">
        <f>NM_D2(E3_插值!$A$5:$B$9,J26,$A$5)</f>
        <v>4.9399989965337454</v>
      </c>
    </row>
    <row r="27" spans="1:13" ht="22" customHeight="1">
      <c r="A27" s="1"/>
      <c r="B27" s="1"/>
      <c r="C27" s="1"/>
      <c r="D27" s="1"/>
      <c r="E27" s="1"/>
      <c r="F27" s="1"/>
      <c r="G27" s="1"/>
      <c r="H27" s="1"/>
      <c r="I27" s="1"/>
      <c r="J27" s="1">
        <v>0.2</v>
      </c>
      <c r="K27" s="3">
        <f>NM_Lagrange(E3_插值!$A$5:$B$9,J27)</f>
        <v>5.6992000000000012</v>
      </c>
      <c r="L27" s="3">
        <f>NM_D1(E3_插值!$A$5:$B$9,J27,$A$5)</f>
        <v>3.9839996000003985</v>
      </c>
      <c r="M27" s="6">
        <f>NM_D2(E3_插值!$A$5:$B$9,J27,$A$5)</f>
        <v>4.7599989985158686</v>
      </c>
    </row>
    <row r="28" spans="1:13" ht="22" customHeight="1">
      <c r="A28" s="1"/>
      <c r="B28" s="1"/>
      <c r="C28" s="1"/>
      <c r="D28" s="1"/>
      <c r="E28" s="1"/>
      <c r="F28" s="1"/>
      <c r="G28" s="1"/>
      <c r="H28" s="1"/>
      <c r="I28" s="1"/>
      <c r="J28" s="1">
        <v>0.3</v>
      </c>
      <c r="K28" s="3">
        <f>NM_Lagrange(E3_插值!$A$5:$B$9,J28)</f>
        <v>6.1209499999999997</v>
      </c>
      <c r="L28" s="3">
        <f>NM_D1(E3_插值!$A$5:$B$9,J28,$A$5)</f>
        <v>4.4459993999996783</v>
      </c>
      <c r="M28" s="6">
        <f>NM_D2(E3_插值!$A$5:$B$9,J28,$A$5)</f>
        <v>4.4599990012272883</v>
      </c>
    </row>
    <row r="29" spans="1:13" ht="22" customHeight="1">
      <c r="A29" s="1"/>
      <c r="B29" s="1"/>
      <c r="C29" s="1"/>
      <c r="D29" s="1"/>
      <c r="E29" s="1"/>
      <c r="F29" s="1"/>
      <c r="G29" s="1"/>
      <c r="H29" s="1"/>
      <c r="I29" s="1"/>
      <c r="J29" s="1">
        <v>0.4</v>
      </c>
      <c r="K29" s="3">
        <f>NM_Lagrange(E3_插值!$A$5:$B$9,J29)</f>
        <v>6.5872000000000002</v>
      </c>
      <c r="L29" s="3">
        <f>NM_D1(E3_插值!$A$5:$B$9,J29,$A$5)</f>
        <v>4.8719991999996992</v>
      </c>
      <c r="M29" s="6">
        <f>NM_D2(E3_插值!$A$5:$B$9,J29,$A$5)</f>
        <v>4.0399989984507556</v>
      </c>
    </row>
    <row r="30" spans="1:13" ht="22" customHeight="1">
      <c r="A30" s="1"/>
      <c r="B30" s="1"/>
      <c r="C30" s="1"/>
      <c r="D30" s="1"/>
      <c r="E30" s="1"/>
      <c r="F30" s="1"/>
      <c r="G30" s="1"/>
      <c r="H30" s="1"/>
      <c r="I30" s="1"/>
      <c r="J30" s="1">
        <v>0.5</v>
      </c>
      <c r="K30" s="3">
        <f>NM_Lagrange(E3_插值!$A$5:$B$9,J30)</f>
        <v>7.09375</v>
      </c>
      <c r="L30" s="3">
        <f>NM_D1(E3_插值!$A$5:$B$9,J30,$A$5)</f>
        <v>5.249998999999228</v>
      </c>
      <c r="M30" s="6">
        <f>NM_D2(E3_插值!$A$5:$B$9,J30,$A$5)</f>
        <v>3.4999989999562331</v>
      </c>
    </row>
    <row r="31" spans="1:13" ht="22" customHeight="1">
      <c r="A31" s="1"/>
      <c r="B31" s="1"/>
      <c r="C31" s="1"/>
      <c r="D31" s="1"/>
      <c r="E31" s="1"/>
      <c r="F31" s="1"/>
      <c r="G31" s="1"/>
      <c r="H31" s="1"/>
      <c r="I31" s="1"/>
      <c r="J31" s="1">
        <v>0.6</v>
      </c>
      <c r="K31" s="3">
        <f>NM_Lagrange(E3_插值!$A$5:$B$9,J31)</f>
        <v>7.6351999999999993</v>
      </c>
      <c r="L31" s="3">
        <f>NM_D1(E3_插值!$A$5:$B$9,J31,$A$5)</f>
        <v>5.5679988000001401</v>
      </c>
      <c r="M31" s="6">
        <f>NM_D2(E3_插值!$A$5:$B$9,J31,$A$5)</f>
        <v>2.8399990004146503</v>
      </c>
    </row>
    <row r="32" spans="1:13" ht="22" customHeight="1">
      <c r="A32" s="1"/>
      <c r="B32" s="1"/>
      <c r="C32" s="1"/>
      <c r="D32" s="1"/>
      <c r="E32" s="1"/>
      <c r="F32" s="1"/>
      <c r="G32" s="1"/>
      <c r="H32" s="1"/>
      <c r="I32" s="1"/>
      <c r="J32" s="1">
        <v>0.7</v>
      </c>
      <c r="K32" s="3">
        <f>NM_Lagrange(E3_插值!$A$5:$B$9,J32)</f>
        <v>8.2049500000000002</v>
      </c>
      <c r="L32" s="3">
        <f>NM_D1(E3_插值!$A$5:$B$9,J32,$A$5)</f>
        <v>5.8139986000007582</v>
      </c>
      <c r="M32" s="6">
        <f>NM_D2(E3_插值!$A$5:$B$9,J32,$A$5)</f>
        <v>2.0599989980496503</v>
      </c>
    </row>
    <row r="33" spans="1:13" ht="22" customHeight="1">
      <c r="A33" s="1"/>
      <c r="B33" s="1"/>
      <c r="C33" s="1"/>
      <c r="D33" s="1"/>
      <c r="E33" s="1"/>
      <c r="F33" s="1"/>
      <c r="G33" s="1"/>
      <c r="H33" s="1"/>
      <c r="I33" s="1"/>
      <c r="J33" s="1">
        <v>0.8</v>
      </c>
      <c r="K33" s="3">
        <f>NM_Lagrange(E3_插值!$A$5:$B$9,J33)</f>
        <v>8.7952000000000012</v>
      </c>
      <c r="L33" s="3">
        <f>NM_D1(E3_插值!$A$5:$B$9,J33,$A$5)</f>
        <v>5.9759984000011812</v>
      </c>
      <c r="M33" s="6">
        <f>NM_D2(E3_插值!$A$5:$B$9,J33,$A$5)</f>
        <v>1.1599989999666604</v>
      </c>
    </row>
    <row r="34" spans="1:13" ht="22" customHeight="1">
      <c r="A34" s="1"/>
      <c r="B34" s="1"/>
      <c r="C34" s="1"/>
      <c r="D34" s="1"/>
      <c r="E34" s="1"/>
      <c r="F34" s="1"/>
      <c r="G34" s="1"/>
      <c r="H34" s="1"/>
      <c r="I34" s="1"/>
      <c r="J34" s="1">
        <v>0.9</v>
      </c>
      <c r="K34" s="3">
        <f>NM_Lagrange(E3_插值!$A$5:$B$9,J34)</f>
        <v>9.3969500000000004</v>
      </c>
      <c r="L34" s="3">
        <f>NM_D1(E3_插值!$A$5:$B$9,J34,$A$5)</f>
        <v>6.0419981999988437</v>
      </c>
      <c r="M34" s="6">
        <f>NM_D2(E3_插值!$A$5:$B$9,J34,$A$5)</f>
        <v>0.13999899906025348</v>
      </c>
    </row>
    <row r="35" spans="1:13" ht="22" customHeight="1">
      <c r="A35" s="1"/>
      <c r="B35" s="1"/>
      <c r="C35" s="1"/>
      <c r="D35" s="1"/>
      <c r="E35" s="1"/>
      <c r="F35" s="1"/>
      <c r="G35" s="1"/>
      <c r="H35" s="1"/>
      <c r="I35" s="1"/>
      <c r="J35" s="1">
        <v>1</v>
      </c>
      <c r="K35" s="3">
        <f>NM_Lagrange(E3_插值!$A$5:$B$9,J35)</f>
        <v>10</v>
      </c>
      <c r="L35" s="3">
        <f>NM_D1(E3_插值!$A$5:$B$9,J35,$A$5)</f>
        <v>5.9999980000000619</v>
      </c>
      <c r="M35" s="6">
        <f>NM_D2(E3_插值!$A$5:$B$9,J35,$A$5)</f>
        <v>-1.0000010028932138</v>
      </c>
    </row>
    <row r="36" spans="1:13" ht="22" customHeight="1">
      <c r="A36" s="1"/>
      <c r="B36" s="1"/>
      <c r="C36" s="1"/>
      <c r="D36" s="1"/>
      <c r="E36" s="1"/>
      <c r="F36" s="1"/>
      <c r="G36" s="1"/>
      <c r="H36" s="1"/>
      <c r="I36" s="1"/>
      <c r="J36" s="1">
        <v>1.1000000000000001</v>
      </c>
      <c r="K36" s="3">
        <f>NM_Lagrange(E3_插值!$A$5:$B$9,J36)</f>
        <v>10.59295</v>
      </c>
      <c r="L36" s="3">
        <f>NM_D1(E3_插值!$A$5:$B$9,J36,$A$5)</f>
        <v>5.837997800000494</v>
      </c>
      <c r="M36" s="6">
        <f>NM_D2(E3_插值!$A$5:$B$9,J36,$A$5)</f>
        <v>-2.2600009970119572</v>
      </c>
    </row>
    <row r="37" spans="1:13" ht="22" customHeight="1">
      <c r="A37" s="1"/>
      <c r="B37" s="1"/>
      <c r="C37" s="1"/>
      <c r="D37" s="1"/>
      <c r="E37" s="1"/>
      <c r="F37" s="1"/>
      <c r="G37" s="1"/>
      <c r="H37" s="1"/>
      <c r="I37" s="1"/>
      <c r="J37" s="1">
        <v>1.2</v>
      </c>
      <c r="K37" s="3">
        <f>NM_Lagrange(E3_插值!$A$5:$B$9,J37)</f>
        <v>11.1632</v>
      </c>
      <c r="L37" s="3">
        <f>NM_D1(E3_插值!$A$5:$B$9,J37,$A$5)</f>
        <v>5.5439975999984625</v>
      </c>
      <c r="M37" s="6">
        <f>NM_D2(E3_插值!$A$5:$B$9,J37,$A$5)</f>
        <v>-3.6400010010595452</v>
      </c>
    </row>
    <row r="38" spans="1:13" ht="22" customHeight="1">
      <c r="A38" s="1"/>
      <c r="B38" s="1"/>
      <c r="C38" s="1"/>
      <c r="D38" s="1"/>
      <c r="E38" s="1"/>
      <c r="F38" s="1"/>
      <c r="G38" s="1"/>
      <c r="H38" s="1"/>
      <c r="I38" s="1"/>
      <c r="J38" s="1">
        <v>1.3</v>
      </c>
      <c r="K38" s="3">
        <f>NM_Lagrange(E3_插值!$A$5:$B$9,J38)</f>
        <v>11.696949999999999</v>
      </c>
      <c r="L38" s="3">
        <f>NM_D1(E3_插值!$A$5:$B$9,J38,$A$5)</f>
        <v>5.1059973999993957</v>
      </c>
      <c r="M38" s="6">
        <f>NM_D2(E3_插值!$A$5:$B$9,J38,$A$5)</f>
        <v>-5.1400009937196955</v>
      </c>
    </row>
    <row r="39" spans="1:13" ht="22" customHeight="1">
      <c r="A39" s="1"/>
      <c r="B39" s="1"/>
      <c r="C39" s="1"/>
      <c r="D39" s="1"/>
      <c r="E39" s="1"/>
      <c r="F39" s="1"/>
      <c r="G39" s="1"/>
      <c r="H39" s="1"/>
      <c r="I39" s="1"/>
      <c r="J39" s="1">
        <v>1.4</v>
      </c>
      <c r="K39" s="3">
        <f>NM_Lagrange(E3_插值!$A$5:$B$9,J39)</f>
        <v>12.179200000000002</v>
      </c>
      <c r="L39" s="3">
        <f>NM_D1(E3_插值!$A$5:$B$9,J39,$A$5)</f>
        <v>4.5119971999998398</v>
      </c>
      <c r="M39" s="6">
        <f>NM_D2(E3_插值!$A$5:$B$9,J39,$A$5)</f>
        <v>-6.7600010034141178</v>
      </c>
    </row>
    <row r="40" spans="1:13" ht="22" customHeight="1">
      <c r="A40" s="1"/>
      <c r="B40" s="1"/>
      <c r="C40" s="1"/>
      <c r="D40" s="1"/>
      <c r="E40" s="1"/>
      <c r="F40" s="1"/>
      <c r="G40" s="1"/>
      <c r="H40" s="1"/>
      <c r="I40" s="1"/>
      <c r="J40" s="1">
        <v>1.5</v>
      </c>
      <c r="K40" s="3">
        <f>NM_Lagrange(E3_插值!$A$5:$B$9,J40)</f>
        <v>12.59375</v>
      </c>
      <c r="L40" s="3">
        <f>NM_D1(E3_插值!$A$5:$B$9,J40,$A$5)</f>
        <v>3.7499970000007821</v>
      </c>
      <c r="M40" s="6">
        <f>NM_D2(E3_插值!$A$5:$B$9,J40,$A$5)</f>
        <v>-8.5000009999447457</v>
      </c>
    </row>
    <row r="41" spans="1:13" ht="22" customHeight="1">
      <c r="A41" s="1"/>
      <c r="B41" s="1"/>
      <c r="C41" s="1"/>
      <c r="D41" s="1"/>
      <c r="E41" s="1"/>
      <c r="F41" s="1"/>
      <c r="G41" s="1"/>
      <c r="H41" s="1"/>
      <c r="I41" s="1"/>
      <c r="J41" s="1">
        <v>1.6</v>
      </c>
      <c r="K41" s="3">
        <f>NM_Lagrange(E3_插值!$A$5:$B$9,J41)</f>
        <v>12.923200000000001</v>
      </c>
      <c r="L41" s="3">
        <f>NM_D1(E3_插值!$A$5:$B$9,J41,$A$5)</f>
        <v>2.8079967999987687</v>
      </c>
      <c r="M41" s="6">
        <f>NM_D2(E3_插值!$A$5:$B$9,J41,$A$5)</f>
        <v>-10.360001004627861</v>
      </c>
    </row>
    <row r="42" spans="1:13" ht="22" customHeight="1">
      <c r="A42" s="1"/>
      <c r="B42" s="1"/>
      <c r="C42" s="1"/>
      <c r="D42" s="1"/>
      <c r="E42" s="1"/>
      <c r="F42" s="1"/>
      <c r="G42" s="1"/>
      <c r="H42" s="1"/>
      <c r="I42" s="1"/>
      <c r="J42" s="1">
        <v>1.7</v>
      </c>
      <c r="K42" s="3">
        <f>NM_Lagrange(E3_插值!$A$5:$B$9,J42)</f>
        <v>13.148950000000003</v>
      </c>
      <c r="L42" s="3">
        <f>NM_D1(E3_插值!$A$5:$B$9,J42,$A$5)</f>
        <v>1.6739966000010043</v>
      </c>
      <c r="M42" s="6">
        <f>NM_D2(E3_插值!$A$5:$B$9,J42,$A$5)</f>
        <v>-12.340001010358037</v>
      </c>
    </row>
    <row r="43" spans="1:13" ht="22" customHeight="1">
      <c r="A43" s="1"/>
      <c r="B43" s="1"/>
      <c r="C43" s="1"/>
      <c r="D43" s="1"/>
      <c r="E43" s="1"/>
      <c r="F43" s="1"/>
      <c r="G43" s="1"/>
      <c r="H43" s="1"/>
      <c r="I43" s="1"/>
      <c r="J43" s="1">
        <v>1.8</v>
      </c>
      <c r="K43" s="3">
        <f>NM_Lagrange(E3_插值!$A$5:$B$9,J43)</f>
        <v>13.251199999999997</v>
      </c>
      <c r="L43" s="3">
        <f>NM_D1(E3_插值!$A$5:$B$9,J43,$A$5)</f>
        <v>0.33599639999781772</v>
      </c>
      <c r="M43" s="6">
        <f>NM_D2(E3_插值!$A$5:$B$9,J43,$A$5)</f>
        <v>-14.440000990489921</v>
      </c>
    </row>
    <row r="44" spans="1:13" ht="22" customHeight="1">
      <c r="A44" s="1"/>
      <c r="B44" s="1"/>
      <c r="C44" s="1"/>
      <c r="D44" s="1"/>
      <c r="E44" s="1"/>
      <c r="F44" s="1"/>
      <c r="G44" s="1"/>
      <c r="H44" s="1"/>
      <c r="I44" s="1"/>
      <c r="J44" s="1">
        <v>1.9</v>
      </c>
      <c r="K44" s="3">
        <f>NM_Lagrange(E3_插值!$A$5:$B$9,J44)</f>
        <v>13.208949999999998</v>
      </c>
      <c r="L44" s="3">
        <f>NM_D1(E3_插值!$A$5:$B$9,J44,$A$5)</f>
        <v>-1.2180038000000337</v>
      </c>
      <c r="M44" s="6">
        <f>NM_D2(E3_插值!$A$5:$B$9,J44,$A$5)</f>
        <v>-16.660000998314217</v>
      </c>
    </row>
    <row r="45" spans="1:13" ht="22" customHeight="1">
      <c r="A45" s="1"/>
      <c r="B45" s="1"/>
      <c r="C45" s="1"/>
      <c r="D45" s="1"/>
      <c r="E45" s="1"/>
      <c r="F45" s="1"/>
      <c r="G45" s="1"/>
      <c r="H45" s="1"/>
      <c r="I45" s="1"/>
      <c r="J45" s="1">
        <v>2</v>
      </c>
      <c r="K45" s="3">
        <f>NM_Lagrange(E3_插值!$A$5:$B$9,J45)</f>
        <v>13</v>
      </c>
      <c r="L45" s="3">
        <f>NM_D1(E3_插值!$A$5:$B$9,J45,$A$5)</f>
        <v>-3.000004000002221</v>
      </c>
      <c r="M45" s="6">
        <f>NM_D2(E3_插值!$A$5:$B$9,J45,$A$5)</f>
        <v>-19.00000100363286</v>
      </c>
    </row>
    <row r="46" spans="1:13" ht="22" customHeight="1">
      <c r="A46" s="1"/>
      <c r="B46" s="1"/>
      <c r="C46" s="1"/>
      <c r="D46" s="1"/>
      <c r="E46" s="1"/>
      <c r="F46" s="1"/>
      <c r="G46" s="1"/>
      <c r="H46" s="1"/>
      <c r="I46" s="1"/>
      <c r="J46" s="1">
        <v>2.1</v>
      </c>
      <c r="K46" s="3">
        <f>NM_Lagrange(E3_插值!$A$5:$B$9,J46)</f>
        <v>12.600949999999997</v>
      </c>
      <c r="L46" s="3">
        <f>NM_D1(E3_插值!$A$5:$B$9,J46,$A$5)</f>
        <v>-5.022004199997987</v>
      </c>
      <c r="M46" s="6">
        <f>NM_D2(E3_插值!$A$5:$B$9,J46,$A$5)</f>
        <v>-21.460000999340423</v>
      </c>
    </row>
    <row r="47" spans="1:13" ht="22" customHeight="1">
      <c r="A47" s="1"/>
      <c r="B47" s="1"/>
      <c r="C47" s="1"/>
      <c r="D47" s="1"/>
      <c r="E47" s="1"/>
      <c r="F47" s="1"/>
      <c r="G47" s="1"/>
      <c r="H47" s="1"/>
      <c r="I47" s="1"/>
      <c r="J47" s="1">
        <v>2.2000000000000002</v>
      </c>
      <c r="K47" s="3">
        <f>NM_Lagrange(E3_插值!$A$5:$B$9,J47)</f>
        <v>11.9872</v>
      </c>
      <c r="L47" s="3">
        <f>NM_D1(E3_插值!$A$5:$B$9,J47,$A$5)</f>
        <v>-7.2960043999987789</v>
      </c>
      <c r="M47" s="6">
        <f>NM_D2(E3_插值!$A$5:$B$9,J47,$A$5)</f>
        <v>-24.040001001424116</v>
      </c>
    </row>
    <row r="48" spans="1:13" ht="22" customHeight="1">
      <c r="A48" s="1"/>
      <c r="B48" s="1"/>
      <c r="C48" s="1"/>
      <c r="D48" s="1"/>
      <c r="E48" s="1"/>
      <c r="F48" s="1"/>
      <c r="G48" s="1"/>
      <c r="H48" s="1"/>
      <c r="I48" s="1"/>
      <c r="J48" s="1">
        <v>2.2999999999999998</v>
      </c>
      <c r="K48" s="3">
        <f>NM_Lagrange(E3_插值!$A$5:$B$9,J48)</f>
        <v>11.132950000000001</v>
      </c>
      <c r="L48" s="3">
        <f>NM_D1(E3_插值!$A$5:$B$9,J48,$A$5)</f>
        <v>-9.8340046000000569</v>
      </c>
      <c r="M48" s="6">
        <f>NM_D2(E3_插值!$A$5:$B$9,J48,$A$5)</f>
        <v>-26.740000997449442</v>
      </c>
    </row>
    <row r="49" spans="1:13" ht="22" customHeight="1">
      <c r="A49" s="1"/>
      <c r="B49" s="1"/>
      <c r="C49" s="1"/>
      <c r="D49" s="1"/>
      <c r="E49" s="1"/>
      <c r="F49" s="1"/>
      <c r="G49" s="1"/>
      <c r="H49" s="1"/>
      <c r="I49" s="1"/>
      <c r="J49" s="1">
        <v>2.4</v>
      </c>
      <c r="K49" s="3">
        <f>NM_Lagrange(E3_插值!$A$5:$B$9,J49)</f>
        <v>10.011200000000004</v>
      </c>
      <c r="L49" s="3">
        <f>NM_D1(E3_插值!$A$5:$B$9,J49,$A$5)</f>
        <v>-12.648004799999057</v>
      </c>
      <c r="M49" s="6">
        <f>NM_D2(E3_插值!$A$5:$B$9,J49,$A$5)</f>
        <v>-29.560001006956327</v>
      </c>
    </row>
    <row r="50" spans="1:13" ht="22" customHeight="1">
      <c r="A50" s="1"/>
      <c r="B50" s="1"/>
      <c r="C50" s="1"/>
      <c r="D50" s="1"/>
      <c r="E50" s="1"/>
      <c r="F50" s="1"/>
      <c r="G50" s="1"/>
      <c r="H50" s="1"/>
      <c r="I50" s="1"/>
      <c r="J50" s="1">
        <v>2.5</v>
      </c>
      <c r="K50" s="3">
        <f>NM_Lagrange(E3_插值!$A$5:$B$9,J50)</f>
        <v>8.59375</v>
      </c>
      <c r="L50" s="3">
        <f>NM_D1(E3_插值!$A$5:$B$9,J50,$A$5)</f>
        <v>-15.75000499999657</v>
      </c>
      <c r="M50" s="6">
        <f>NM_D2(E3_插值!$A$5:$B$9,J50,$A$5)</f>
        <v>-32.500000999746703</v>
      </c>
    </row>
    <row r="51" spans="1:13" ht="22" customHeight="1">
      <c r="A51" s="1"/>
      <c r="B51" s="1"/>
      <c r="C51" s="1"/>
      <c r="D51" s="1"/>
      <c r="E51" s="1"/>
      <c r="F51" s="1"/>
      <c r="G51" s="1"/>
      <c r="H51" s="1"/>
      <c r="I51" s="1"/>
      <c r="J51" s="1">
        <v>2.6</v>
      </c>
      <c r="K51" s="3">
        <f>NM_Lagrange(E3_插值!$A$5:$B$9,J51)</f>
        <v>6.8511999999999977</v>
      </c>
      <c r="L51" s="3">
        <f>NM_D1(E3_插值!$A$5:$B$9,J51,$A$5)</f>
        <v>-19.152005199996491</v>
      </c>
      <c r="M51" s="6">
        <f>NM_D2(E3_插值!$A$5:$B$9,J51,$A$5)</f>
        <v>-35.560000999801389</v>
      </c>
    </row>
    <row r="52" spans="1:13" ht="22" customHeight="1">
      <c r="A52" s="1"/>
      <c r="B52" s="1"/>
      <c r="C52" s="1"/>
      <c r="D52" s="1"/>
      <c r="E52" s="1"/>
      <c r="F52" s="1"/>
      <c r="G52" s="1"/>
      <c r="H52" s="1"/>
      <c r="I52" s="1"/>
      <c r="J52" s="1">
        <v>2.7</v>
      </c>
      <c r="K52" s="3">
        <f>NM_Lagrange(E3_插值!$A$5:$B$9,J52)</f>
        <v>4.7529499999999958</v>
      </c>
      <c r="L52" s="3">
        <f>NM_D1(E3_插值!$A$5:$B$9,J52,$A$5)</f>
        <v>-22.866005399996947</v>
      </c>
      <c r="M52" s="6">
        <f>NM_D2(E3_插值!$A$5:$B$9,J52,$A$5)</f>
        <v>-38.740001001791313</v>
      </c>
    </row>
    <row r="53" spans="1:13" ht="22" customHeight="1">
      <c r="A53" s="1"/>
      <c r="B53" s="1"/>
      <c r="C53" s="1"/>
      <c r="D53" s="1"/>
      <c r="E53" s="1"/>
      <c r="F53" s="1"/>
      <c r="G53" s="1"/>
      <c r="H53" s="1"/>
      <c r="I53" s="1"/>
      <c r="J53" s="1">
        <v>2.8</v>
      </c>
      <c r="K53" s="3">
        <f>NM_Lagrange(E3_插值!$A$5:$B$9,J53)</f>
        <v>2.2672000000000057</v>
      </c>
      <c r="L53" s="3">
        <f>NM_D1(E3_插值!$A$5:$B$9,J53,$A$5)</f>
        <v>-26.904005599995838</v>
      </c>
      <c r="M53" s="6">
        <f>NM_D2(E3_插值!$A$5:$B$9,J53,$A$5)</f>
        <v>-42.040001001719673</v>
      </c>
    </row>
    <row r="54" spans="1:13" ht="22" customHeight="1">
      <c r="A54" s="1"/>
      <c r="B54" s="1"/>
      <c r="C54" s="1"/>
      <c r="D54" s="1"/>
      <c r="E54" s="1"/>
      <c r="F54" s="1"/>
      <c r="G54" s="1"/>
      <c r="H54" s="1"/>
      <c r="I54" s="1"/>
      <c r="J54" s="1">
        <v>2.9</v>
      </c>
      <c r="K54" s="3">
        <f>NM_Lagrange(E3_插值!$A$5:$B$9,J54)</f>
        <v>-0.6390499999999979</v>
      </c>
      <c r="L54" s="3">
        <f>NM_D1(E3_插值!$A$5:$B$9,J54,$A$5)</f>
        <v>-31.27800579999662</v>
      </c>
      <c r="M54" s="6">
        <f>NM_D2(E3_插值!$A$5:$B$9,J54,$A$5)</f>
        <v>-45.46000099958647</v>
      </c>
    </row>
    <row r="55" spans="1:13" ht="22" customHeight="1">
      <c r="A55" s="1"/>
      <c r="B55" s="1"/>
      <c r="C55" s="1"/>
      <c r="D55" s="1"/>
      <c r="E55" s="1"/>
      <c r="F55" s="1"/>
      <c r="G55" s="1"/>
      <c r="H55" s="1"/>
      <c r="I55" s="1"/>
      <c r="J55" s="1">
        <v>3</v>
      </c>
      <c r="K55" s="3">
        <f>NM_Lagrange(E3_插值!$A$5:$B$9,J55)</f>
        <v>-4</v>
      </c>
      <c r="L55" s="3">
        <f>NM_D1(E3_插值!$A$5:$B$9,J55,$A$5)</f>
        <v>-36.000005999995423</v>
      </c>
      <c r="M55" s="6">
        <f>NM_D2(E3_插值!$A$5:$B$9,J55,$A$5)</f>
        <v>-49.000000999388504</v>
      </c>
    </row>
    <row r="56" spans="1:13" ht="22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4"/>
    </row>
    <row r="57" spans="1:13" ht="22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4"/>
    </row>
    <row r="58" spans="1:13" ht="22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4"/>
    </row>
    <row r="59" spans="1:13" ht="22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4"/>
    </row>
    <row r="60" spans="1:13" ht="22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4"/>
    </row>
    <row r="61" spans="1:13" ht="22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4"/>
    </row>
    <row r="62" spans="1:13" ht="22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4"/>
    </row>
    <row r="63" spans="1:13" ht="22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4"/>
    </row>
    <row r="64" spans="1:13" ht="22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4"/>
    </row>
    <row r="65" spans="1:13" ht="22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4"/>
    </row>
    <row r="66" spans="1:13" ht="22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4"/>
    </row>
    <row r="67" spans="1:13" ht="22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4"/>
    </row>
    <row r="68" spans="1:13" ht="22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4"/>
    </row>
    <row r="69" spans="1:13" ht="22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4"/>
    </row>
    <row r="70" spans="1:13" ht="22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4"/>
    </row>
    <row r="71" spans="1:13" ht="22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4"/>
    </row>
    <row r="72" spans="1:13" ht="22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4"/>
    </row>
    <row r="73" spans="1:13" ht="22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4"/>
    </row>
    <row r="74" spans="1:13" ht="22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4"/>
    </row>
    <row r="75" spans="1:13" ht="22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4"/>
    </row>
    <row r="76" spans="1:13" ht="22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4"/>
    </row>
    <row r="77" spans="1:13" ht="22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4"/>
    </row>
    <row r="78" spans="1:13" ht="22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4"/>
    </row>
    <row r="79" spans="1:13" ht="22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4"/>
    </row>
    <row r="80" spans="1:13" ht="22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4"/>
    </row>
    <row r="81" spans="1:13" ht="22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4"/>
    </row>
    <row r="82" spans="1:13" ht="2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4"/>
    </row>
    <row r="83" spans="1:13" ht="2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4"/>
    </row>
    <row r="84" spans="1:13" ht="2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4"/>
    </row>
    <row r="85" spans="1:13" ht="2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4"/>
    </row>
    <row r="86" spans="1:13" ht="2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4"/>
    </row>
    <row r="87" spans="1:13" ht="2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4"/>
    </row>
    <row r="88" spans="1:13" ht="2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4"/>
    </row>
    <row r="89" spans="1:13" ht="2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4"/>
    </row>
    <row r="90" spans="1:13" ht="2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4"/>
    </row>
    <row r="91" spans="1:13" ht="2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4"/>
    </row>
    <row r="92" spans="1:13" ht="2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4"/>
    </row>
    <row r="93" spans="1:13" ht="2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4"/>
    </row>
    <row r="94" spans="1:13" ht="2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4"/>
    </row>
    <row r="95" spans="1:13" ht="2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4"/>
    </row>
    <row r="96" spans="1:13" ht="2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4"/>
    </row>
    <row r="97" spans="1:13" ht="2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4"/>
    </row>
    <row r="98" spans="1:13" ht="2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4"/>
    </row>
    <row r="99" spans="1:13" ht="2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4"/>
    </row>
    <row r="100" spans="1:13" ht="2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4"/>
    </row>
    <row r="101" spans="1:13" ht="2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4"/>
    </row>
    <row r="102" spans="1:13" ht="2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4"/>
    </row>
    <row r="103" spans="1:13" ht="2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4"/>
    </row>
    <row r="104" spans="1:13" ht="2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4"/>
    </row>
    <row r="105" spans="1:13" ht="2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4"/>
    </row>
    <row r="106" spans="1:13" ht="2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4"/>
    </row>
    <row r="107" spans="1:13" ht="2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4"/>
    </row>
    <row r="108" spans="1:13" ht="2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4"/>
    </row>
    <row r="109" spans="1:13" ht="2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4"/>
    </row>
    <row r="110" spans="1:13" ht="2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4"/>
    </row>
  </sheetData>
  <mergeCells count="5">
    <mergeCell ref="A1:H1"/>
    <mergeCell ref="A2:H2"/>
    <mergeCell ref="A24:H24"/>
    <mergeCell ref="A25:H25"/>
    <mergeCell ref="A26:H26"/>
  </mergeCells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110"/>
  <sheetViews>
    <sheetView showGridLines="0" zoomScale="90" zoomScaleNormal="90" workbookViewId="0">
      <pane ySplit="4" topLeftCell="A5" activePane="bottomLeft" state="frozen"/>
      <selection pane="bottomLeft" sqref="A1:H1"/>
    </sheetView>
  </sheetViews>
  <sheetFormatPr defaultRowHeight="14"/>
  <cols>
    <col min="1" max="8" width="18.58203125" customWidth="1"/>
    <col min="9" max="12" width="16" customWidth="1"/>
  </cols>
  <sheetData>
    <row r="1" spans="1:12" ht="28" customHeight="1">
      <c r="A1" s="10" t="s">
        <v>107</v>
      </c>
      <c r="B1" s="11"/>
      <c r="C1" s="11"/>
      <c r="D1" s="11"/>
      <c r="E1" s="11"/>
      <c r="F1" s="11"/>
      <c r="G1" s="11"/>
      <c r="H1" s="11"/>
      <c r="I1" s="1"/>
      <c r="J1" s="1"/>
      <c r="K1" s="1"/>
      <c r="L1" s="1"/>
    </row>
    <row r="2" spans="1:12" ht="32" customHeight="1">
      <c r="A2" s="12" t="s">
        <v>108</v>
      </c>
      <c r="B2" s="11"/>
      <c r="C2" s="11"/>
      <c r="D2" s="11"/>
      <c r="E2" s="11"/>
      <c r="F2" s="11"/>
      <c r="G2" s="11"/>
      <c r="H2" s="11"/>
      <c r="I2" s="1"/>
      <c r="J2" s="1"/>
      <c r="K2" s="1"/>
      <c r="L2" s="1"/>
    </row>
    <row r="3" spans="1:12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22" customHeight="1">
      <c r="A4" s="2" t="s">
        <v>64</v>
      </c>
      <c r="B4" s="2" t="s">
        <v>65</v>
      </c>
      <c r="C4" s="1"/>
      <c r="D4" s="1" t="s">
        <v>66</v>
      </c>
      <c r="E4" s="1" t="s">
        <v>93</v>
      </c>
      <c r="F4" s="1"/>
      <c r="G4" s="1"/>
      <c r="H4" s="1"/>
      <c r="I4" s="1"/>
      <c r="J4" s="1"/>
      <c r="K4" s="1"/>
      <c r="L4" s="1"/>
    </row>
    <row r="5" spans="1:12" ht="22" customHeight="1">
      <c r="A5" s="9">
        <v>-2</v>
      </c>
      <c r="B5" s="9">
        <v>-1</v>
      </c>
      <c r="C5" s="1"/>
      <c r="D5" s="9">
        <v>0.5</v>
      </c>
      <c r="E5" s="3">
        <f>NM_Lagrange($A$5:$B$8,D5)</f>
        <v>-0.375</v>
      </c>
      <c r="F5" s="1"/>
      <c r="G5" s="1"/>
      <c r="H5" s="1"/>
      <c r="I5" s="1"/>
      <c r="J5" s="1"/>
      <c r="K5" s="1"/>
      <c r="L5" s="1"/>
    </row>
    <row r="6" spans="1:12" ht="22" customHeight="1">
      <c r="A6" s="9">
        <v>-1</v>
      </c>
      <c r="B6" s="9">
        <v>3</v>
      </c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22" customHeight="1">
      <c r="A7" s="9">
        <v>1</v>
      </c>
      <c r="B7" s="9">
        <v>-1</v>
      </c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22" customHeight="1">
      <c r="A8" s="9">
        <v>2</v>
      </c>
      <c r="B8" s="9">
        <v>3</v>
      </c>
      <c r="C8" s="1"/>
      <c r="D8" s="1" t="s">
        <v>109</v>
      </c>
      <c r="E8" s="1" t="s">
        <v>72</v>
      </c>
      <c r="F8" s="1"/>
      <c r="G8" s="1"/>
      <c r="H8" s="1"/>
      <c r="I8" s="1"/>
      <c r="J8" s="1"/>
      <c r="K8" s="1"/>
      <c r="L8" s="1"/>
    </row>
    <row r="9" spans="1:12" ht="22" customHeight="1">
      <c r="A9" s="1"/>
      <c r="B9" s="1"/>
      <c r="C9" s="1"/>
      <c r="D9" s="3">
        <f>NM_Root("Bisection",3,0,1,0.00000001,100,$A$5:$B$8)</f>
        <v>0.34729635342955589</v>
      </c>
      <c r="E9" s="8">
        <f>NM_Lagrange($A$5:$B$8,D9)</f>
        <v>5.0238523341405994E-9</v>
      </c>
      <c r="F9" s="1"/>
      <c r="G9" s="1"/>
      <c r="H9" s="1"/>
      <c r="I9" s="1"/>
      <c r="J9" s="1"/>
      <c r="K9" s="1"/>
      <c r="L9" s="1"/>
    </row>
    <row r="10" spans="1:12" ht="22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22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22" customHeight="1">
      <c r="A12" s="2" t="s">
        <v>80</v>
      </c>
      <c r="B12" s="2" t="s">
        <v>110</v>
      </c>
      <c r="C12" s="2" t="s">
        <v>111</v>
      </c>
      <c r="D12" s="2" t="s">
        <v>112</v>
      </c>
      <c r="E12" s="2" t="s">
        <v>113</v>
      </c>
      <c r="F12" s="2" t="s">
        <v>114</v>
      </c>
      <c r="G12" s="1"/>
      <c r="H12" s="1"/>
      <c r="I12" s="1"/>
      <c r="J12" s="1"/>
      <c r="K12" s="1"/>
      <c r="L12" s="1"/>
    </row>
    <row r="13" spans="1:12" ht="22" customHeight="1">
      <c r="A13" s="1">
        <v>0.1</v>
      </c>
      <c r="B13" s="3">
        <f>NM_Root("Bisection",4,-1.2,-0.8,0.00000001,100,$A$5:$B$8,A13)</f>
        <v>-0.99833194315433493</v>
      </c>
      <c r="C13" s="3">
        <f>NM_Root("Bisection",4,0.8,1.2,0.00000001,100,$A$5:$B$8,A13)</f>
        <v>0.99833194315433493</v>
      </c>
      <c r="D13" s="8">
        <f>NM_Root("Bisection",5,-0.2,0.2,0.00000001,100,$A$5:$B$8,A13)</f>
        <v>1.4901161193847657E-9</v>
      </c>
      <c r="E13" s="8">
        <f>ABS(B13+1)</f>
        <v>1.6680568456650668E-3</v>
      </c>
      <c r="F13" s="8">
        <f>ABS(C13-1)</f>
        <v>1.6680568456650668E-3</v>
      </c>
      <c r="G13" s="1"/>
      <c r="H13" s="1"/>
      <c r="I13" s="1"/>
      <c r="J13" s="1"/>
      <c r="K13" s="1"/>
      <c r="L13" s="1"/>
    </row>
    <row r="14" spans="1:12" ht="22" customHeight="1">
      <c r="A14" s="1">
        <v>0.01</v>
      </c>
      <c r="B14" s="3">
        <f>NM_Root("Bisection",4,-1.2,-0.8,0.00000001,100,$A$5:$B$8,A14)</f>
        <v>-0.99998333156108865</v>
      </c>
      <c r="C14" s="3">
        <f>NM_Root("Bisection",4,0.8,1.2,0.00000001,100,$A$5:$B$8,A14)</f>
        <v>0.99998333156108865</v>
      </c>
      <c r="D14" s="8">
        <f>NM_Root("Bisection",5,-0.2,0.2,0.00000001,100,$A$5:$B$8,A14)</f>
        <v>1.4901161193847657E-9</v>
      </c>
      <c r="E14" s="8">
        <f>ABS(B14+1)</f>
        <v>1.666843891134917E-5</v>
      </c>
      <c r="F14" s="8">
        <f>ABS(C14-1)</f>
        <v>1.666843891134917E-5</v>
      </c>
      <c r="G14" s="1"/>
      <c r="H14" s="1"/>
      <c r="I14" s="1"/>
      <c r="J14" s="1"/>
      <c r="K14" s="1"/>
      <c r="L14" s="1"/>
    </row>
    <row r="15" spans="1:12" ht="22" customHeight="1">
      <c r="A15" s="1">
        <v>1E-3</v>
      </c>
      <c r="B15" s="3">
        <f>NM_Root("Bisection",4,-1.2,-0.8,0.00000001,100,$A$5:$B$8,A15)</f>
        <v>-0.99999983459711084</v>
      </c>
      <c r="C15" s="3">
        <f>NM_Root("Bisection",4,0.8,1.2,0.00000001,100,$A$5:$B$8,A15)</f>
        <v>0.99999983459711084</v>
      </c>
      <c r="D15" s="8">
        <f>NM_Root("Bisection",5,-0.2,0.2,0.00000001,100,$A$5:$B$8,A15)</f>
        <v>0</v>
      </c>
      <c r="E15" s="8">
        <f>ABS(B15+1)</f>
        <v>1.6540288916289114E-7</v>
      </c>
      <c r="F15" s="8">
        <f>ABS(C15-1)</f>
        <v>1.6540288916289114E-7</v>
      </c>
      <c r="G15" s="1"/>
      <c r="H15" s="1"/>
      <c r="I15" s="1"/>
      <c r="J15" s="1"/>
      <c r="K15" s="1"/>
      <c r="L15" s="1"/>
    </row>
    <row r="16" spans="1:12" ht="22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22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32" customHeight="1">
      <c r="A18" s="13" t="s">
        <v>115</v>
      </c>
      <c r="B18" s="11"/>
      <c r="C18" s="11"/>
      <c r="D18" s="11"/>
      <c r="E18" s="11"/>
      <c r="F18" s="11"/>
      <c r="G18" s="11"/>
      <c r="H18" s="11"/>
      <c r="I18" s="1"/>
      <c r="J18" s="1"/>
      <c r="K18" s="1"/>
      <c r="L18" s="1"/>
    </row>
    <row r="19" spans="1:12" ht="32" customHeight="1">
      <c r="A19" s="13" t="s">
        <v>116</v>
      </c>
      <c r="B19" s="11"/>
      <c r="C19" s="11"/>
      <c r="D19" s="11"/>
      <c r="E19" s="11"/>
      <c r="F19" s="11"/>
      <c r="G19" s="11"/>
      <c r="H19" s="11"/>
      <c r="I19" s="1"/>
      <c r="J19" s="1"/>
      <c r="K19" s="1"/>
      <c r="L19" s="1"/>
    </row>
    <row r="20" spans="1:12" ht="32" customHeight="1">
      <c r="A20" s="13" t="s">
        <v>117</v>
      </c>
      <c r="B20" s="11"/>
      <c r="C20" s="11"/>
      <c r="D20" s="11"/>
      <c r="E20" s="11"/>
      <c r="F20" s="11"/>
      <c r="G20" s="11"/>
      <c r="H20" s="11"/>
      <c r="I20" s="1"/>
      <c r="J20" s="1"/>
      <c r="K20" s="1"/>
      <c r="L20" s="1"/>
    </row>
    <row r="21" spans="1:12" ht="22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22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22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22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22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2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22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22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22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22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22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22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22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22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22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22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22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22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22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22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ht="22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ht="22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ht="22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ht="22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ht="22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ht="22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ht="2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2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2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22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22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22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22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22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22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22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22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22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22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22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22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22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22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22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22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22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22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22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22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22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22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22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22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22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22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22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22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22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22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22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22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2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2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2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2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2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2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2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2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2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2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2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2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2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2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2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2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2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2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2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2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2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2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2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2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2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2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2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2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2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</sheetData>
  <mergeCells count="5">
    <mergeCell ref="A1:H1"/>
    <mergeCell ref="A2:H2"/>
    <mergeCell ref="A18:H18"/>
    <mergeCell ref="A19:H19"/>
    <mergeCell ref="A20:H20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使用說明</vt:lpstr>
      <vt:lpstr>E1_求根</vt:lpstr>
      <vt:lpstr>E1_迭代</vt:lpstr>
      <vt:lpstr>E2_Taylor誤差</vt:lpstr>
      <vt:lpstr>E3_插值</vt:lpstr>
      <vt:lpstr>E3_微分</vt:lpstr>
      <vt:lpstr>E4_整合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2026-10-03T08:11:26Z</dcterms:created>
  <dcterms:modified xsi:type="dcterms:W3CDTF">2026-10-03T08:18:45Z</dcterms:modified>
</cp:coreProperties>
</file>